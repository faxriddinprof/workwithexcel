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ules" sheetId="2" state="visible" r:id="rId2"/>
    <sheet name="Summary" sheetId="3" state="visible" r:id="rId3"/>
  </sheets>
  <definedNames>
    <definedName name="_xlnm._FilterDatabase" localSheetId="0" hidden="1">'Data'!$A$1:$AJ$181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7" customWidth="1" min="26" max="26"/>
    <col width="14" customWidth="1" min="27" max="27"/>
    <col width="14" customWidth="1" min="28" max="28"/>
    <col width="14" customWidth="1" min="29" max="29"/>
    <col width="18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9" customWidth="1" min="36" max="36"/>
  </cols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Specialist</t>
        </is>
      </c>
      <c r="D1" s="1" t="inlineStr">
        <is>
          <t>PlannedUnits</t>
        </is>
      </c>
      <c r="E1" s="1" t="inlineStr">
        <is>
          <t>ActualUnits</t>
        </is>
      </c>
      <c r="F1" s="1" t="inlineStr">
        <is>
          <t>UnitPrice</t>
        </is>
      </c>
      <c r="G1" s="1" t="inlineStr">
        <is>
          <t>DaysWorked</t>
        </is>
      </c>
      <c r="H1" s="1" t="inlineStr">
        <is>
          <t>OvertimeHours</t>
        </is>
      </c>
      <c r="I1" s="1" t="inlineStr">
        <is>
          <t>QualityScore</t>
        </is>
      </c>
      <c r="J1" s="1" t="inlineStr">
        <is>
          <t>CompletionPct</t>
        </is>
      </c>
      <c r="K1" s="1" t="inlineStr">
        <is>
          <t>ReportDate</t>
        </is>
      </c>
      <c r="L1" s="1" t="inlineStr">
        <is>
          <t>TransportCost</t>
        </is>
      </c>
      <c r="M1" s="1" t="inlineStr">
        <is>
          <t>MealCost</t>
        </is>
      </c>
      <c r="N1" s="1" t="inlineStr">
        <is>
          <t>BonusRate</t>
        </is>
      </c>
      <c r="O1" s="1" t="inlineStr">
        <is>
          <t>LookupTier</t>
        </is>
      </c>
      <c r="P1" s="1" t="inlineStr">
        <is>
          <t>Variance</t>
        </is>
      </c>
      <c r="Q1" s="1" t="inlineStr">
        <is>
          <t>VariancePct</t>
        </is>
      </c>
      <c r="R1" s="1" t="inlineStr">
        <is>
          <t>CostBase</t>
        </is>
      </c>
      <c r="S1" s="1" t="inlineStr">
        <is>
          <t>OvertimeCost</t>
        </is>
      </c>
      <c r="T1" s="1" t="inlineStr">
        <is>
          <t>TotalCost</t>
        </is>
      </c>
      <c r="U1" s="1" t="inlineStr">
        <is>
          <t>Efficiency</t>
        </is>
      </c>
      <c r="V1" s="1" t="inlineStr">
        <is>
          <t>QualityBand</t>
        </is>
      </c>
      <c r="W1" s="1" t="inlineStr">
        <is>
          <t>PerfScore</t>
        </is>
      </c>
      <c r="X1" s="1" t="inlineStr">
        <is>
          <t>PerfBonus</t>
        </is>
      </c>
      <c r="Y1" s="1" t="inlineStr">
        <is>
          <t>RiskFlag</t>
        </is>
      </c>
      <c r="Z1" s="1" t="inlineStr">
        <is>
          <t>RevenueEstimate</t>
        </is>
      </c>
      <c r="AA1" s="1" t="inlineStr">
        <is>
          <t>NetResult</t>
        </is>
      </c>
      <c r="AB1" s="1" t="inlineStr">
        <is>
          <t>NetMargin</t>
        </is>
      </c>
      <c r="AC1" s="1" t="inlineStr">
        <is>
          <t>TextKey</t>
        </is>
      </c>
      <c r="AD1" s="1" t="inlineStr">
        <is>
          <t>LookupMultiplier</t>
        </is>
      </c>
      <c r="AE1" s="1" t="inlineStr">
        <is>
          <t>AdjustedNet</t>
        </is>
      </c>
      <c r="AF1" s="1" t="inlineStr">
        <is>
          <t>RankScore</t>
        </is>
      </c>
      <c r="AG1" s="1" t="inlineStr">
        <is>
          <t>HealthCheck</t>
        </is>
      </c>
      <c r="AH1" s="1" t="inlineStr">
        <is>
          <t>AuditNote</t>
        </is>
      </c>
      <c r="AI1" s="1" t="inlineStr">
        <is>
          <t>WeightedIndex</t>
        </is>
      </c>
      <c r="AJ1" s="1" t="inlineStr">
        <is>
          <t>SeasonAdjustedNet</t>
        </is>
      </c>
    </row>
    <row r="2">
      <c r="A2" t="inlineStr">
        <is>
          <t>Samarkand</t>
        </is>
      </c>
      <c r="B2" t="inlineStr">
        <is>
          <t>North-2</t>
        </is>
      </c>
      <c r="C2" t="inlineStr">
        <is>
          <t>Bekzod Aliyev</t>
        </is>
      </c>
      <c r="D2" t="n">
        <v>87</v>
      </c>
      <c r="E2" t="n">
        <v>70</v>
      </c>
      <c r="F2" s="2" t="n">
        <v>124</v>
      </c>
      <c r="G2" t="n">
        <v>19</v>
      </c>
      <c r="H2" t="n">
        <v>3</v>
      </c>
      <c r="I2" t="n">
        <v>73</v>
      </c>
      <c r="J2" s="3" t="n">
        <v>0.8046</v>
      </c>
      <c r="K2" s="4" t="inlineStr">
        <is>
          <t>2026-01-01</t>
        </is>
      </c>
      <c r="L2" s="2" t="n">
        <v>48</v>
      </c>
      <c r="M2" s="2" t="n">
        <v>25</v>
      </c>
      <c r="N2" s="3" t="n">
        <v>0.0425</v>
      </c>
      <c r="O2" t="inlineStr">
        <is>
          <t>Tier-2</t>
        </is>
      </c>
      <c r="P2" s="5">
        <f>E2-D2</f>
        <v/>
      </c>
      <c r="Q2" s="6">
        <f>IF(D2=0,0,E2/D2-1)</f>
        <v/>
      </c>
      <c r="R2" s="7">
        <f>E2*F2</f>
        <v/>
      </c>
      <c r="S2" s="7">
        <f>H2*(F2*1.5/8)</f>
        <v/>
      </c>
      <c r="T2" s="7">
        <f>R2+S2+L2+M2</f>
        <v/>
      </c>
      <c r="U2" s="5">
        <f>IF(G2=0,0,E2/G2)</f>
        <v/>
      </c>
      <c r="V2" s="5">
        <f>IF(I2&gt;=95,"A",IF(I2&gt;=85,"B",IF(I2&gt;=75,"C","D")))</f>
        <v/>
      </c>
      <c r="W2" s="5">
        <f>ROUND((J2*35)+(I2*0.25)+(U2*0.2)+(IF(Q2&gt;0,100,MAX(0,100+Q2*100))*0.2),2)</f>
        <v/>
      </c>
      <c r="X2" s="7">
        <f>ROUND(T2*N2*IF(V2="A",1.25,IF(V2="B",1.1,IF(V2="C",0.9,0.5))),2)</f>
        <v/>
      </c>
      <c r="Y2" s="5">
        <f>IF(OR(I2&lt;80,J2&lt;0.75,E2&lt;D2*0.85),"HIGH",IF(OR(I2&lt;90,J2&lt;0.9),"MEDIUM","LOW"))</f>
        <v/>
      </c>
      <c r="Z2" s="7">
        <f>ROUND(E2*INDEX(Rules!$B$2:$B$6,MATCH(O2,Rules!$A$2:$A$6,0))*INDEX(Rules!$C$2:$C$5,MATCH(V2,Rules!$D$2:$D$5,0)),2)</f>
        <v/>
      </c>
      <c r="AA2" s="7">
        <f>Z2-T2-X2</f>
        <v/>
      </c>
      <c r="AB2" s="6">
        <f>IF(Z2=0,0,AA2/Z2)</f>
        <v/>
      </c>
      <c r="AC2" s="5">
        <f>UPPER(LEFT(A2,3)&amp;"-"&amp;LEFT(B2,3)&amp;"-"&amp;TEXT(ROW()-1,"000"))</f>
        <v/>
      </c>
      <c r="AD2" s="5">
        <f>INDEX(Rules!$E$2:$E$6,MATCH(O2,Rules!$A$2:$A$6,0))</f>
        <v/>
      </c>
      <c r="AE2" s="7">
        <f>ROUND(AA2*AD2,2)</f>
        <v/>
      </c>
      <c r="AF2" s="5">
        <f>RANK(W2,$W$2:$W$181,0)</f>
        <v/>
      </c>
      <c r="AG2" s="5">
        <f>IF(AND(AB2&gt;0.18,Y2="LOW"),"PASS",IF(AB2&gt;0.08,"WATCH","FAIL"))</f>
        <v/>
      </c>
      <c r="AH2" s="5">
        <f>IFERROR(IF(VLOOKUP(A2,Rules!$G$2:$H$13,2,FALSE)="Priority","Priority Region","Standard Region"),"Standard Region")</f>
        <v/>
      </c>
      <c r="AI2" s="5">
        <f>ROUND(SUMPRODUCT(E2:J2,{0.08,0.08,0.15,0.1,0.25,0.34}),2)</f>
        <v/>
      </c>
      <c r="AJ2" s="7">
        <f>ROUND(AE2*INDEX(Rules!$J$2:$J$5,MATCH(MONTH(K2),Rules!$I$2:$I$5,1)),2)</f>
        <v/>
      </c>
    </row>
    <row r="3">
      <c r="A3" t="inlineStr">
        <is>
          <t>Bukhara</t>
        </is>
      </c>
      <c r="B3" t="inlineStr">
        <is>
          <t>South-3</t>
        </is>
      </c>
      <c r="C3" t="inlineStr">
        <is>
          <t>Dilshod Rustamov</t>
        </is>
      </c>
      <c r="D3" t="n">
        <v>94</v>
      </c>
      <c r="E3" t="n">
        <v>84</v>
      </c>
      <c r="F3" s="2" t="n">
        <v>133</v>
      </c>
      <c r="G3" t="n">
        <v>20</v>
      </c>
      <c r="H3" t="n">
        <v>6</v>
      </c>
      <c r="I3" t="n">
        <v>78</v>
      </c>
      <c r="J3" s="3" t="n">
        <v>0.8935999999999999</v>
      </c>
      <c r="K3" s="4" t="inlineStr">
        <is>
          <t>2026-02-01</t>
        </is>
      </c>
      <c r="L3" s="2" t="n">
        <v>56</v>
      </c>
      <c r="M3" s="2" t="n">
        <v>30</v>
      </c>
      <c r="N3" s="3" t="n">
        <v>0.055</v>
      </c>
      <c r="O3" t="inlineStr">
        <is>
          <t>Tier-3</t>
        </is>
      </c>
      <c r="P3">
        <f>E3-D3</f>
        <v/>
      </c>
      <c r="Q3" s="3">
        <f>IF(D3=0,0,E3/D3-1)</f>
        <v/>
      </c>
      <c r="R3" s="2">
        <f>E3*F3</f>
        <v/>
      </c>
      <c r="S3" s="2">
        <f>H3*(F3*1.5/8)</f>
        <v/>
      </c>
      <c r="T3" s="2">
        <f>R3+S3+L3+M3</f>
        <v/>
      </c>
      <c r="U3">
        <f>IF(G3=0,0,E3/G3)</f>
        <v/>
      </c>
      <c r="V3">
        <f>IF(I3&gt;=95,"A",IF(I3&gt;=85,"B",IF(I3&gt;=75,"C","D")))</f>
        <v/>
      </c>
      <c r="W3">
        <f>ROUND((J3*35)+(I3*0.25)+(U3*0.2)+(IF(Q3&gt;0,100,MAX(0,100+Q3*100))*0.2),2)</f>
        <v/>
      </c>
      <c r="X3" s="2">
        <f>ROUND(T3*N3*IF(V3="A",1.25,IF(V3="B",1.1,IF(V3="C",0.9,0.5))),2)</f>
        <v/>
      </c>
      <c r="Y3">
        <f>IF(OR(I3&lt;80,J3&lt;0.75,E3&lt;D3*0.85),"HIGH",IF(OR(I3&lt;90,J3&lt;0.9),"MEDIUM","LOW"))</f>
        <v/>
      </c>
      <c r="Z3" s="2">
        <f>ROUND(E3*INDEX(Rules!$B$2:$B$6,MATCH(O3,Rules!$A$2:$A$6,0))*INDEX(Rules!$C$2:$C$5,MATCH(V3,Rules!$D$2:$D$5,0)),2)</f>
        <v/>
      </c>
      <c r="AA3" s="2">
        <f>Z3-T3-X3</f>
        <v/>
      </c>
      <c r="AB3" s="3">
        <f>IF(Z3=0,0,AA3/Z3)</f>
        <v/>
      </c>
      <c r="AC3">
        <f>UPPER(LEFT(A3,3)&amp;"-"&amp;LEFT(B3,3)&amp;"-"&amp;TEXT(ROW()-1,"000"))</f>
        <v/>
      </c>
      <c r="AD3">
        <f>INDEX(Rules!$E$2:$E$6,MATCH(O3,Rules!$A$2:$A$6,0))</f>
        <v/>
      </c>
      <c r="AE3" s="2">
        <f>ROUND(AA3*AD3,2)</f>
        <v/>
      </c>
      <c r="AF3">
        <f>RANK(W3,$W$2:$W$181,0)</f>
        <v/>
      </c>
      <c r="AG3">
        <f>IF(AND(AB3&gt;0.18,Y3="LOW"),"PASS",IF(AB3&gt;0.08,"WATCH","FAIL"))</f>
        <v/>
      </c>
      <c r="AH3">
        <f>IFERROR(IF(VLOOKUP(A3,Rules!$G$2:$H$13,2,FALSE)="Priority","Priority Region","Standard Region"),"Standard Region")</f>
        <v/>
      </c>
      <c r="AI3">
        <f>ROUND(SUMPRODUCT(E3:J3,{0.08,0.08,0.15,0.1,0.25,0.34}),2)</f>
        <v/>
      </c>
      <c r="AJ3" s="2">
        <f>ROUND(AE3*INDEX(Rules!$J$2:$J$5,MATCH(MONTH(K3),Rules!$I$2:$I$5,1)),2)</f>
        <v/>
      </c>
    </row>
    <row r="4">
      <c r="A4" t="inlineStr">
        <is>
          <t>Andijan</t>
        </is>
      </c>
      <c r="B4" t="inlineStr">
        <is>
          <t>East-4</t>
        </is>
      </c>
      <c r="C4" t="inlineStr">
        <is>
          <t>Malika Ergasheva</t>
        </is>
      </c>
      <c r="D4" t="n">
        <v>101</v>
      </c>
      <c r="E4" t="n">
        <v>98</v>
      </c>
      <c r="F4" s="2" t="n">
        <v>142</v>
      </c>
      <c r="G4" t="n">
        <v>21</v>
      </c>
      <c r="H4" t="n">
        <v>9</v>
      </c>
      <c r="I4" t="n">
        <v>83</v>
      </c>
      <c r="J4" s="3" t="n">
        <v>0.9703000000000001</v>
      </c>
      <c r="K4" s="4" t="inlineStr">
        <is>
          <t>2026-03-01</t>
        </is>
      </c>
      <c r="L4" s="2" t="n">
        <v>64</v>
      </c>
      <c r="M4" s="2" t="n">
        <v>35</v>
      </c>
      <c r="N4" s="3" t="n">
        <v>0.0675</v>
      </c>
      <c r="O4" t="inlineStr">
        <is>
          <t>Tier-4</t>
        </is>
      </c>
      <c r="P4">
        <f>E4-D4</f>
        <v/>
      </c>
      <c r="Q4" s="3">
        <f>IF(D4=0,0,E4/D4-1)</f>
        <v/>
      </c>
      <c r="R4" s="2">
        <f>E4*F4</f>
        <v/>
      </c>
      <c r="S4" s="2">
        <f>H4*(F4*1.5/8)</f>
        <v/>
      </c>
      <c r="T4" s="2">
        <f>R4+S4+L4+M4</f>
        <v/>
      </c>
      <c r="U4">
        <f>IF(G4=0,0,E4/G4)</f>
        <v/>
      </c>
      <c r="V4">
        <f>IF(I4&gt;=95,"A",IF(I4&gt;=85,"B",IF(I4&gt;=75,"C","D")))</f>
        <v/>
      </c>
      <c r="W4">
        <f>ROUND((J4*35)+(I4*0.25)+(U4*0.2)+(IF(Q4&gt;0,100,MAX(0,100+Q4*100))*0.2),2)</f>
        <v/>
      </c>
      <c r="X4" s="2">
        <f>ROUND(T4*N4*IF(V4="A",1.25,IF(V4="B",1.1,IF(V4="C",0.9,0.5))),2)</f>
        <v/>
      </c>
      <c r="Y4">
        <f>IF(OR(I4&lt;80,J4&lt;0.75,E4&lt;D4*0.85),"HIGH",IF(OR(I4&lt;90,J4&lt;0.9),"MEDIUM","LOW"))</f>
        <v/>
      </c>
      <c r="Z4" s="2">
        <f>ROUND(E4*INDEX(Rules!$B$2:$B$6,MATCH(O4,Rules!$A$2:$A$6,0))*INDEX(Rules!$C$2:$C$5,MATCH(V4,Rules!$D$2:$D$5,0)),2)</f>
        <v/>
      </c>
      <c r="AA4" s="2">
        <f>Z4-T4-X4</f>
        <v/>
      </c>
      <c r="AB4" s="3">
        <f>IF(Z4=0,0,AA4/Z4)</f>
        <v/>
      </c>
      <c r="AC4">
        <f>UPPER(LEFT(A4,3)&amp;"-"&amp;LEFT(B4,3)&amp;"-"&amp;TEXT(ROW()-1,"000"))</f>
        <v/>
      </c>
      <c r="AD4">
        <f>INDEX(Rules!$E$2:$E$6,MATCH(O4,Rules!$A$2:$A$6,0))</f>
        <v/>
      </c>
      <c r="AE4" s="2">
        <f>ROUND(AA4*AD4,2)</f>
        <v/>
      </c>
      <c r="AF4">
        <f>RANK(W4,$W$2:$W$181,0)</f>
        <v/>
      </c>
      <c r="AG4">
        <f>IF(AND(AB4&gt;0.18,Y4="LOW"),"PASS",IF(AB4&gt;0.08,"WATCH","FAIL"))</f>
        <v/>
      </c>
      <c r="AH4">
        <f>IFERROR(IF(VLOOKUP(A4,Rules!$G$2:$H$13,2,FALSE)="Priority","Priority Region","Standard Region"),"Standard Region")</f>
        <v/>
      </c>
      <c r="AI4">
        <f>ROUND(SUMPRODUCT(E4:J4,{0.08,0.08,0.15,0.1,0.25,0.34}),2)</f>
        <v/>
      </c>
      <c r="AJ4" s="2">
        <f>ROUND(AE4*INDEX(Rules!$J$2:$J$5,MATCH(MONTH(K4),Rules!$I$2:$I$5,1)),2)</f>
        <v/>
      </c>
    </row>
    <row r="5">
      <c r="A5" t="inlineStr">
        <is>
          <t>Namangan</t>
        </is>
      </c>
      <c r="B5" t="inlineStr">
        <is>
          <t>West-1</t>
        </is>
      </c>
      <c r="C5" t="inlineStr">
        <is>
          <t>Shahzod Islomov</t>
        </is>
      </c>
      <c r="D5" t="n">
        <v>108</v>
      </c>
      <c r="E5" t="n">
        <v>112</v>
      </c>
      <c r="F5" s="2" t="n">
        <v>151</v>
      </c>
      <c r="G5" t="n">
        <v>22</v>
      </c>
      <c r="H5" t="n">
        <v>12</v>
      </c>
      <c r="I5" t="n">
        <v>88</v>
      </c>
      <c r="J5" s="3" t="n">
        <v>1.037</v>
      </c>
      <c r="K5" s="4" t="inlineStr">
        <is>
          <t>2026-04-01</t>
        </is>
      </c>
      <c r="L5" s="2" t="n">
        <v>72</v>
      </c>
      <c r="M5" s="2" t="n">
        <v>40</v>
      </c>
      <c r="N5" s="3" t="n">
        <v>0.08</v>
      </c>
      <c r="O5" t="inlineStr">
        <is>
          <t>Tier-5</t>
        </is>
      </c>
      <c r="P5">
        <f>E5-D5</f>
        <v/>
      </c>
      <c r="Q5" s="3">
        <f>IF(D5=0,0,E5/D5-1)</f>
        <v/>
      </c>
      <c r="R5" s="2">
        <f>E5*F5</f>
        <v/>
      </c>
      <c r="S5" s="2">
        <f>H5*(F5*1.5/8)</f>
        <v/>
      </c>
      <c r="T5" s="2">
        <f>R5+S5+L5+M5</f>
        <v/>
      </c>
      <c r="U5">
        <f>IF(G5=0,0,E5/G5)</f>
        <v/>
      </c>
      <c r="V5">
        <f>IF(I5&gt;=95,"A",IF(I5&gt;=85,"B",IF(I5&gt;=75,"C","D")))</f>
        <v/>
      </c>
      <c r="W5">
        <f>ROUND((J5*35)+(I5*0.25)+(U5*0.2)+(IF(Q5&gt;0,100,MAX(0,100+Q5*100))*0.2),2)</f>
        <v/>
      </c>
      <c r="X5" s="2">
        <f>ROUND(T5*N5*IF(V5="A",1.25,IF(V5="B",1.1,IF(V5="C",0.9,0.5))),2)</f>
        <v/>
      </c>
      <c r="Y5">
        <f>IF(OR(I5&lt;80,J5&lt;0.75,E5&lt;D5*0.85),"HIGH",IF(OR(I5&lt;90,J5&lt;0.9),"MEDIUM","LOW"))</f>
        <v/>
      </c>
      <c r="Z5" s="2">
        <f>ROUND(E5*INDEX(Rules!$B$2:$B$6,MATCH(O5,Rules!$A$2:$A$6,0))*INDEX(Rules!$C$2:$C$5,MATCH(V5,Rules!$D$2:$D$5,0)),2)</f>
        <v/>
      </c>
      <c r="AA5" s="2">
        <f>Z5-T5-X5</f>
        <v/>
      </c>
      <c r="AB5" s="3">
        <f>IF(Z5=0,0,AA5/Z5)</f>
        <v/>
      </c>
      <c r="AC5">
        <f>UPPER(LEFT(A5,3)&amp;"-"&amp;LEFT(B5,3)&amp;"-"&amp;TEXT(ROW()-1,"000"))</f>
        <v/>
      </c>
      <c r="AD5">
        <f>INDEX(Rules!$E$2:$E$6,MATCH(O5,Rules!$A$2:$A$6,0))</f>
        <v/>
      </c>
      <c r="AE5" s="2">
        <f>ROUND(AA5*AD5,2)</f>
        <v/>
      </c>
      <c r="AF5">
        <f>RANK(W5,$W$2:$W$181,0)</f>
        <v/>
      </c>
      <c r="AG5">
        <f>IF(AND(AB5&gt;0.18,Y5="LOW"),"PASS",IF(AB5&gt;0.08,"WATCH","FAIL"))</f>
        <v/>
      </c>
      <c r="AH5">
        <f>IFERROR(IF(VLOOKUP(A5,Rules!$G$2:$H$13,2,FALSE)="Priority","Priority Region","Standard Region"),"Standard Region")</f>
        <v/>
      </c>
      <c r="AI5">
        <f>ROUND(SUMPRODUCT(E5:J5,{0.08,0.08,0.15,0.1,0.25,0.34}),2)</f>
        <v/>
      </c>
      <c r="AJ5" s="2">
        <f>ROUND(AE5*INDEX(Rules!$J$2:$J$5,MATCH(MONTH(K5),Rules!$I$2:$I$5,1)),2)</f>
        <v/>
      </c>
    </row>
    <row r="6">
      <c r="A6" t="inlineStr">
        <is>
          <t>Fergana</t>
        </is>
      </c>
      <c r="B6" t="inlineStr">
        <is>
          <t>Industrial-2</t>
        </is>
      </c>
      <c r="C6" t="inlineStr">
        <is>
          <t>Nilufar Tursunova</t>
        </is>
      </c>
      <c r="D6" t="n">
        <v>115</v>
      </c>
      <c r="E6" t="n">
        <v>121</v>
      </c>
      <c r="F6" s="2" t="n">
        <v>160</v>
      </c>
      <c r="G6" t="n">
        <v>23</v>
      </c>
      <c r="H6" t="n">
        <v>15</v>
      </c>
      <c r="I6" t="n">
        <v>93</v>
      </c>
      <c r="J6" s="3" t="n">
        <v>1.0522</v>
      </c>
      <c r="K6" s="4" t="inlineStr">
        <is>
          <t>2026-05-01</t>
        </is>
      </c>
      <c r="L6" s="2" t="n">
        <v>80</v>
      </c>
      <c r="M6" s="2" t="n">
        <v>45</v>
      </c>
      <c r="N6" s="3" t="n">
        <v>0.0925</v>
      </c>
      <c r="O6" t="inlineStr">
        <is>
          <t>Tier-1</t>
        </is>
      </c>
      <c r="P6">
        <f>E6-D6</f>
        <v/>
      </c>
      <c r="Q6" s="3">
        <f>IF(D6=0,0,E6/D6-1)</f>
        <v/>
      </c>
      <c r="R6" s="2">
        <f>E6*F6</f>
        <v/>
      </c>
      <c r="S6" s="2">
        <f>H6*(F6*1.5/8)</f>
        <v/>
      </c>
      <c r="T6" s="2">
        <f>R6+S6+L6+M6</f>
        <v/>
      </c>
      <c r="U6">
        <f>IF(G6=0,0,E6/G6)</f>
        <v/>
      </c>
      <c r="V6">
        <f>IF(I6&gt;=95,"A",IF(I6&gt;=85,"B",IF(I6&gt;=75,"C","D")))</f>
        <v/>
      </c>
      <c r="W6">
        <f>ROUND((J6*35)+(I6*0.25)+(U6*0.2)+(IF(Q6&gt;0,100,MAX(0,100+Q6*100))*0.2),2)</f>
        <v/>
      </c>
      <c r="X6" s="2">
        <f>ROUND(T6*N6*IF(V6="A",1.25,IF(V6="B",1.1,IF(V6="C",0.9,0.5))),2)</f>
        <v/>
      </c>
      <c r="Y6">
        <f>IF(OR(I6&lt;80,J6&lt;0.75,E6&lt;D6*0.85),"HIGH",IF(OR(I6&lt;90,J6&lt;0.9),"MEDIUM","LOW"))</f>
        <v/>
      </c>
      <c r="Z6" s="2">
        <f>ROUND(E6*INDEX(Rules!$B$2:$B$6,MATCH(O6,Rules!$A$2:$A$6,0))*INDEX(Rules!$C$2:$C$5,MATCH(V6,Rules!$D$2:$D$5,0)),2)</f>
        <v/>
      </c>
      <c r="AA6" s="2">
        <f>Z6-T6-X6</f>
        <v/>
      </c>
      <c r="AB6" s="3">
        <f>IF(Z6=0,0,AA6/Z6)</f>
        <v/>
      </c>
      <c r="AC6">
        <f>UPPER(LEFT(A6,3)&amp;"-"&amp;LEFT(B6,3)&amp;"-"&amp;TEXT(ROW()-1,"000"))</f>
        <v/>
      </c>
      <c r="AD6">
        <f>INDEX(Rules!$E$2:$E$6,MATCH(O6,Rules!$A$2:$A$6,0))</f>
        <v/>
      </c>
      <c r="AE6" s="2">
        <f>ROUND(AA6*AD6,2)</f>
        <v/>
      </c>
      <c r="AF6">
        <f>RANK(W6,$W$2:$W$181,0)</f>
        <v/>
      </c>
      <c r="AG6">
        <f>IF(AND(AB6&gt;0.18,Y6="LOW"),"PASS",IF(AB6&gt;0.08,"WATCH","FAIL"))</f>
        <v/>
      </c>
      <c r="AH6">
        <f>IFERROR(IF(VLOOKUP(A6,Rules!$G$2:$H$13,2,FALSE)="Priority","Priority Region","Standard Region"),"Standard Region")</f>
        <v/>
      </c>
      <c r="AI6">
        <f>ROUND(SUMPRODUCT(E6:J6,{0.08,0.08,0.15,0.1,0.25,0.34}),2)</f>
        <v/>
      </c>
      <c r="AJ6" s="2">
        <f>ROUND(AE6*INDEX(Rules!$J$2:$J$5,MATCH(MONTH(K6),Rules!$I$2:$I$5,1)),2)</f>
        <v/>
      </c>
    </row>
    <row r="7">
      <c r="A7" t="inlineStr">
        <is>
          <t>Kashkadarya</t>
        </is>
      </c>
      <c r="B7" t="inlineStr">
        <is>
          <t>Rural-3</t>
        </is>
      </c>
      <c r="C7" t="inlineStr">
        <is>
          <t>Sardor Jabborov</t>
        </is>
      </c>
      <c r="D7" t="n">
        <v>122</v>
      </c>
      <c r="E7" t="n">
        <v>135</v>
      </c>
      <c r="F7" s="2" t="n">
        <v>169</v>
      </c>
      <c r="G7" t="n">
        <v>24</v>
      </c>
      <c r="H7" t="n">
        <v>18</v>
      </c>
      <c r="I7" t="n">
        <v>98</v>
      </c>
      <c r="J7" s="3" t="n">
        <v>1.1066</v>
      </c>
      <c r="K7" s="4" t="inlineStr">
        <is>
          <t>2026-06-01</t>
        </is>
      </c>
      <c r="L7" s="2" t="n">
        <v>88</v>
      </c>
      <c r="M7" s="2" t="n">
        <v>50</v>
      </c>
      <c r="N7" s="3" t="n">
        <v>0.03</v>
      </c>
      <c r="O7" t="inlineStr">
        <is>
          <t>Tier-2</t>
        </is>
      </c>
      <c r="P7">
        <f>E7-D7</f>
        <v/>
      </c>
      <c r="Q7" s="3">
        <f>IF(D7=0,0,E7/D7-1)</f>
        <v/>
      </c>
      <c r="R7" s="2">
        <f>E7*F7</f>
        <v/>
      </c>
      <c r="S7" s="2">
        <f>H7*(F7*1.5/8)</f>
        <v/>
      </c>
      <c r="T7" s="2">
        <f>R7+S7+L7+M7</f>
        <v/>
      </c>
      <c r="U7">
        <f>IF(G7=0,0,E7/G7)</f>
        <v/>
      </c>
      <c r="V7">
        <f>IF(I7&gt;=95,"A",IF(I7&gt;=85,"B",IF(I7&gt;=75,"C","D")))</f>
        <v/>
      </c>
      <c r="W7">
        <f>ROUND((J7*35)+(I7*0.25)+(U7*0.2)+(IF(Q7&gt;0,100,MAX(0,100+Q7*100))*0.2),2)</f>
        <v/>
      </c>
      <c r="X7" s="2">
        <f>ROUND(T7*N7*IF(V7="A",1.25,IF(V7="B",1.1,IF(V7="C",0.9,0.5))),2)</f>
        <v/>
      </c>
      <c r="Y7">
        <f>IF(OR(I7&lt;80,J7&lt;0.75,E7&lt;D7*0.85),"HIGH",IF(OR(I7&lt;90,J7&lt;0.9),"MEDIUM","LOW"))</f>
        <v/>
      </c>
      <c r="Z7" s="2">
        <f>ROUND(E7*INDEX(Rules!$B$2:$B$6,MATCH(O7,Rules!$A$2:$A$6,0))*INDEX(Rules!$C$2:$C$5,MATCH(V7,Rules!$D$2:$D$5,0)),2)</f>
        <v/>
      </c>
      <c r="AA7" s="2">
        <f>Z7-T7-X7</f>
        <v/>
      </c>
      <c r="AB7" s="3">
        <f>IF(Z7=0,0,AA7/Z7)</f>
        <v/>
      </c>
      <c r="AC7">
        <f>UPPER(LEFT(A7,3)&amp;"-"&amp;LEFT(B7,3)&amp;"-"&amp;TEXT(ROW()-1,"000"))</f>
        <v/>
      </c>
      <c r="AD7">
        <f>INDEX(Rules!$E$2:$E$6,MATCH(O7,Rules!$A$2:$A$6,0))</f>
        <v/>
      </c>
      <c r="AE7" s="2">
        <f>ROUND(AA7*AD7,2)</f>
        <v/>
      </c>
      <c r="AF7">
        <f>RANK(W7,$W$2:$W$181,0)</f>
        <v/>
      </c>
      <c r="AG7">
        <f>IF(AND(AB7&gt;0.18,Y7="LOW"),"PASS",IF(AB7&gt;0.08,"WATCH","FAIL"))</f>
        <v/>
      </c>
      <c r="AH7">
        <f>IFERROR(IF(VLOOKUP(A7,Rules!$G$2:$H$13,2,FALSE)="Priority","Priority Region","Standard Region"),"Standard Region")</f>
        <v/>
      </c>
      <c r="AI7">
        <f>ROUND(SUMPRODUCT(E7:J7,{0.08,0.08,0.15,0.1,0.25,0.34}),2)</f>
        <v/>
      </c>
      <c r="AJ7" s="2">
        <f>ROUND(AE7*INDEX(Rules!$J$2:$J$5,MATCH(MONTH(K7),Rules!$I$2:$I$5,1)),2)</f>
        <v/>
      </c>
    </row>
    <row r="8">
      <c r="A8" t="inlineStr">
        <is>
          <t>Surkhandarya</t>
        </is>
      </c>
      <c r="B8" t="inlineStr">
        <is>
          <t>Urban-4</t>
        </is>
      </c>
      <c r="C8" t="inlineStr">
        <is>
          <t>Kamola Rahimova</t>
        </is>
      </c>
      <c r="D8" t="n">
        <v>129</v>
      </c>
      <c r="E8" t="n">
        <v>149</v>
      </c>
      <c r="F8" s="2" t="n">
        <v>178</v>
      </c>
      <c r="G8" t="n">
        <v>25</v>
      </c>
      <c r="H8" t="n">
        <v>21</v>
      </c>
      <c r="I8" t="n">
        <v>70</v>
      </c>
      <c r="J8" s="3" t="n">
        <v>1.155</v>
      </c>
      <c r="K8" s="4" t="inlineStr">
        <is>
          <t>2026-07-01</t>
        </is>
      </c>
      <c r="L8" s="2" t="n">
        <v>96</v>
      </c>
      <c r="M8" s="2" t="n">
        <v>55</v>
      </c>
      <c r="N8" s="3" t="n">
        <v>0.0425</v>
      </c>
      <c r="O8" t="inlineStr">
        <is>
          <t>Tier-3</t>
        </is>
      </c>
      <c r="P8">
        <f>E8-D8</f>
        <v/>
      </c>
      <c r="Q8" s="3">
        <f>IF(D8=0,0,E8/D8-1)</f>
        <v/>
      </c>
      <c r="R8" s="2">
        <f>E8*F8</f>
        <v/>
      </c>
      <c r="S8" s="2">
        <f>H8*(F8*1.5/8)</f>
        <v/>
      </c>
      <c r="T8" s="2">
        <f>R8+S8+L8+M8</f>
        <v/>
      </c>
      <c r="U8">
        <f>IF(G8=0,0,E8/G8)</f>
        <v/>
      </c>
      <c r="V8">
        <f>IF(I8&gt;=95,"A",IF(I8&gt;=85,"B",IF(I8&gt;=75,"C","D")))</f>
        <v/>
      </c>
      <c r="W8">
        <f>ROUND((J8*35)+(I8*0.25)+(U8*0.2)+(IF(Q8&gt;0,100,MAX(0,100+Q8*100))*0.2),2)</f>
        <v/>
      </c>
      <c r="X8" s="2">
        <f>ROUND(T8*N8*IF(V8="A",1.25,IF(V8="B",1.1,IF(V8="C",0.9,0.5))),2)</f>
        <v/>
      </c>
      <c r="Y8">
        <f>IF(OR(I8&lt;80,J8&lt;0.75,E8&lt;D8*0.85),"HIGH",IF(OR(I8&lt;90,J8&lt;0.9),"MEDIUM","LOW"))</f>
        <v/>
      </c>
      <c r="Z8" s="2">
        <f>ROUND(E8*INDEX(Rules!$B$2:$B$6,MATCH(O8,Rules!$A$2:$A$6,0))*INDEX(Rules!$C$2:$C$5,MATCH(V8,Rules!$D$2:$D$5,0)),2)</f>
        <v/>
      </c>
      <c r="AA8" s="2">
        <f>Z8-T8-X8</f>
        <v/>
      </c>
      <c r="AB8" s="3">
        <f>IF(Z8=0,0,AA8/Z8)</f>
        <v/>
      </c>
      <c r="AC8">
        <f>UPPER(LEFT(A8,3)&amp;"-"&amp;LEFT(B8,3)&amp;"-"&amp;TEXT(ROW()-1,"000"))</f>
        <v/>
      </c>
      <c r="AD8">
        <f>INDEX(Rules!$E$2:$E$6,MATCH(O8,Rules!$A$2:$A$6,0))</f>
        <v/>
      </c>
      <c r="AE8" s="2">
        <f>ROUND(AA8*AD8,2)</f>
        <v/>
      </c>
      <c r="AF8">
        <f>RANK(W8,$W$2:$W$181,0)</f>
        <v/>
      </c>
      <c r="AG8">
        <f>IF(AND(AB8&gt;0.18,Y8="LOW"),"PASS",IF(AB8&gt;0.08,"WATCH","FAIL"))</f>
        <v/>
      </c>
      <c r="AH8">
        <f>IFERROR(IF(VLOOKUP(A8,Rules!$G$2:$H$13,2,FALSE)="Priority","Priority Region","Standard Region"),"Standard Region")</f>
        <v/>
      </c>
      <c r="AI8">
        <f>ROUND(SUMPRODUCT(E8:J8,{0.08,0.08,0.15,0.1,0.25,0.34}),2)</f>
        <v/>
      </c>
      <c r="AJ8" s="2">
        <f>ROUND(AE8*INDEX(Rules!$J$2:$J$5,MATCH(MONTH(K8),Rules!$I$2:$I$5,1)),2)</f>
        <v/>
      </c>
    </row>
    <row r="9">
      <c r="A9" t="inlineStr">
        <is>
          <t>Khorezm</t>
        </is>
      </c>
      <c r="B9" t="inlineStr">
        <is>
          <t>Central-1</t>
        </is>
      </c>
      <c r="C9" t="inlineStr">
        <is>
          <t>Aziza Karimova</t>
        </is>
      </c>
      <c r="D9" t="n">
        <v>136</v>
      </c>
      <c r="E9" t="n">
        <v>163</v>
      </c>
      <c r="F9" s="2" t="n">
        <v>187</v>
      </c>
      <c r="G9" t="n">
        <v>26</v>
      </c>
      <c r="H9" t="n">
        <v>2</v>
      </c>
      <c r="I9" t="n">
        <v>75</v>
      </c>
      <c r="J9" s="3" t="n">
        <v>1.1985</v>
      </c>
      <c r="K9" s="4" t="inlineStr">
        <is>
          <t>2026-08-01</t>
        </is>
      </c>
      <c r="L9" s="2" t="n">
        <v>104</v>
      </c>
      <c r="M9" s="2" t="n">
        <v>60</v>
      </c>
      <c r="N9" s="3" t="n">
        <v>0.055</v>
      </c>
      <c r="O9" t="inlineStr">
        <is>
          <t>Tier-4</t>
        </is>
      </c>
      <c r="P9">
        <f>E9-D9</f>
        <v/>
      </c>
      <c r="Q9" s="3">
        <f>IF(D9=0,0,E9/D9-1)</f>
        <v/>
      </c>
      <c r="R9" s="2">
        <f>E9*F9</f>
        <v/>
      </c>
      <c r="S9" s="2">
        <f>H9*(F9*1.5/8)</f>
        <v/>
      </c>
      <c r="T9" s="2">
        <f>R9+S9+L9+M9</f>
        <v/>
      </c>
      <c r="U9">
        <f>IF(G9=0,0,E9/G9)</f>
        <v/>
      </c>
      <c r="V9">
        <f>IF(I9&gt;=95,"A",IF(I9&gt;=85,"B",IF(I9&gt;=75,"C","D")))</f>
        <v/>
      </c>
      <c r="W9">
        <f>ROUND((J9*35)+(I9*0.25)+(U9*0.2)+(IF(Q9&gt;0,100,MAX(0,100+Q9*100))*0.2),2)</f>
        <v/>
      </c>
      <c r="X9" s="2">
        <f>ROUND(T9*N9*IF(V9="A",1.25,IF(V9="B",1.1,IF(V9="C",0.9,0.5))),2)</f>
        <v/>
      </c>
      <c r="Y9">
        <f>IF(OR(I9&lt;80,J9&lt;0.75,E9&lt;D9*0.85),"HIGH",IF(OR(I9&lt;90,J9&lt;0.9),"MEDIUM","LOW"))</f>
        <v/>
      </c>
      <c r="Z9" s="2">
        <f>ROUND(E9*INDEX(Rules!$B$2:$B$6,MATCH(O9,Rules!$A$2:$A$6,0))*INDEX(Rules!$C$2:$C$5,MATCH(V9,Rules!$D$2:$D$5,0)),2)</f>
        <v/>
      </c>
      <c r="AA9" s="2">
        <f>Z9-T9-X9</f>
        <v/>
      </c>
      <c r="AB9" s="3">
        <f>IF(Z9=0,0,AA9/Z9)</f>
        <v/>
      </c>
      <c r="AC9">
        <f>UPPER(LEFT(A9,3)&amp;"-"&amp;LEFT(B9,3)&amp;"-"&amp;TEXT(ROW()-1,"000"))</f>
        <v/>
      </c>
      <c r="AD9">
        <f>INDEX(Rules!$E$2:$E$6,MATCH(O9,Rules!$A$2:$A$6,0))</f>
        <v/>
      </c>
      <c r="AE9" s="2">
        <f>ROUND(AA9*AD9,2)</f>
        <v/>
      </c>
      <c r="AF9">
        <f>RANK(W9,$W$2:$W$181,0)</f>
        <v/>
      </c>
      <c r="AG9">
        <f>IF(AND(AB9&gt;0.18,Y9="LOW"),"PASS",IF(AB9&gt;0.08,"WATCH","FAIL"))</f>
        <v/>
      </c>
      <c r="AH9">
        <f>IFERROR(IF(VLOOKUP(A9,Rules!$G$2:$H$13,2,FALSE)="Priority","Priority Region","Standard Region"),"Standard Region")</f>
        <v/>
      </c>
      <c r="AI9">
        <f>ROUND(SUMPRODUCT(E9:J9,{0.08,0.08,0.15,0.1,0.25,0.34}),2)</f>
        <v/>
      </c>
      <c r="AJ9" s="2">
        <f>ROUND(AE9*INDEX(Rules!$J$2:$J$5,MATCH(MONTH(K9),Rules!$I$2:$I$5,1)),2)</f>
        <v/>
      </c>
    </row>
    <row r="10">
      <c r="A10" t="inlineStr">
        <is>
          <t>Jizzakh</t>
        </is>
      </c>
      <c r="B10" t="inlineStr">
        <is>
          <t>North-2</t>
        </is>
      </c>
      <c r="C10" t="inlineStr">
        <is>
          <t>Bekzod Aliyev</t>
        </is>
      </c>
      <c r="D10" t="n">
        <v>143</v>
      </c>
      <c r="E10" t="n">
        <v>123</v>
      </c>
      <c r="F10" s="2" t="n">
        <v>196</v>
      </c>
      <c r="G10" t="n">
        <v>18</v>
      </c>
      <c r="H10" t="n">
        <v>5</v>
      </c>
      <c r="I10" t="n">
        <v>80</v>
      </c>
      <c r="J10" s="3" t="n">
        <v>0.8601</v>
      </c>
      <c r="K10" s="4" t="inlineStr">
        <is>
          <t>2026-09-01</t>
        </is>
      </c>
      <c r="L10" s="2" t="n">
        <v>112</v>
      </c>
      <c r="M10" s="2" t="n">
        <v>65</v>
      </c>
      <c r="N10" s="3" t="n">
        <v>0.0675</v>
      </c>
      <c r="O10" t="inlineStr">
        <is>
          <t>Tier-5</t>
        </is>
      </c>
      <c r="P10">
        <f>E10-D10</f>
        <v/>
      </c>
      <c r="Q10" s="3">
        <f>IF(D10=0,0,E10/D10-1)</f>
        <v/>
      </c>
      <c r="R10" s="2">
        <f>E10*F10</f>
        <v/>
      </c>
      <c r="S10" s="2">
        <f>H10*(F10*1.5/8)</f>
        <v/>
      </c>
      <c r="T10" s="2">
        <f>R10+S10+L10+M10</f>
        <v/>
      </c>
      <c r="U10">
        <f>IF(G10=0,0,E10/G10)</f>
        <v/>
      </c>
      <c r="V10">
        <f>IF(I10&gt;=95,"A",IF(I10&gt;=85,"B",IF(I10&gt;=75,"C","D")))</f>
        <v/>
      </c>
      <c r="W10">
        <f>ROUND((J10*35)+(I10*0.25)+(U10*0.2)+(IF(Q10&gt;0,100,MAX(0,100+Q10*100))*0.2),2)</f>
        <v/>
      </c>
      <c r="X10" s="2">
        <f>ROUND(T10*N10*IF(V10="A",1.25,IF(V10="B",1.1,IF(V10="C",0.9,0.5))),2)</f>
        <v/>
      </c>
      <c r="Y10">
        <f>IF(OR(I10&lt;80,J10&lt;0.75,E10&lt;D10*0.85),"HIGH",IF(OR(I10&lt;90,J10&lt;0.9),"MEDIUM","LOW"))</f>
        <v/>
      </c>
      <c r="Z10" s="2">
        <f>ROUND(E10*INDEX(Rules!$B$2:$B$6,MATCH(O10,Rules!$A$2:$A$6,0))*INDEX(Rules!$C$2:$C$5,MATCH(V10,Rules!$D$2:$D$5,0)),2)</f>
        <v/>
      </c>
      <c r="AA10" s="2">
        <f>Z10-T10-X10</f>
        <v/>
      </c>
      <c r="AB10" s="3">
        <f>IF(Z10=0,0,AA10/Z10)</f>
        <v/>
      </c>
      <c r="AC10">
        <f>UPPER(LEFT(A10,3)&amp;"-"&amp;LEFT(B10,3)&amp;"-"&amp;TEXT(ROW()-1,"000"))</f>
        <v/>
      </c>
      <c r="AD10">
        <f>INDEX(Rules!$E$2:$E$6,MATCH(O10,Rules!$A$2:$A$6,0))</f>
        <v/>
      </c>
      <c r="AE10" s="2">
        <f>ROUND(AA10*AD10,2)</f>
        <v/>
      </c>
      <c r="AF10">
        <f>RANK(W10,$W$2:$W$181,0)</f>
        <v/>
      </c>
      <c r="AG10">
        <f>IF(AND(AB10&gt;0.18,Y10="LOW"),"PASS",IF(AB10&gt;0.08,"WATCH","FAIL"))</f>
        <v/>
      </c>
      <c r="AH10">
        <f>IFERROR(IF(VLOOKUP(A10,Rules!$G$2:$H$13,2,FALSE)="Priority","Priority Region","Standard Region"),"Standard Region")</f>
        <v/>
      </c>
      <c r="AI10">
        <f>ROUND(SUMPRODUCT(E10:J10,{0.08,0.08,0.15,0.1,0.25,0.34}),2)</f>
        <v/>
      </c>
      <c r="AJ10" s="2">
        <f>ROUND(AE10*INDEX(Rules!$J$2:$J$5,MATCH(MONTH(K10),Rules!$I$2:$I$5,1)),2)</f>
        <v/>
      </c>
    </row>
    <row r="11">
      <c r="A11" t="inlineStr">
        <is>
          <t>Navoi</t>
        </is>
      </c>
      <c r="B11" t="inlineStr">
        <is>
          <t>South-3</t>
        </is>
      </c>
      <c r="C11" t="inlineStr">
        <is>
          <t>Dilshod Rustamov</t>
        </is>
      </c>
      <c r="D11" t="n">
        <v>150</v>
      </c>
      <c r="E11" t="n">
        <v>132</v>
      </c>
      <c r="F11" s="2" t="n">
        <v>205</v>
      </c>
      <c r="G11" t="n">
        <v>19</v>
      </c>
      <c r="H11" t="n">
        <v>8</v>
      </c>
      <c r="I11" t="n">
        <v>85</v>
      </c>
      <c r="J11" s="3" t="n">
        <v>0.88</v>
      </c>
      <c r="K11" s="4" t="inlineStr">
        <is>
          <t>2026-10-01</t>
        </is>
      </c>
      <c r="L11" s="2" t="n">
        <v>120</v>
      </c>
      <c r="M11" s="2" t="n">
        <v>20</v>
      </c>
      <c r="N11" s="3" t="n">
        <v>0.08</v>
      </c>
      <c r="O11" t="inlineStr">
        <is>
          <t>Tier-1</t>
        </is>
      </c>
      <c r="P11">
        <f>E11-D11</f>
        <v/>
      </c>
      <c r="Q11" s="3">
        <f>IF(D11=0,0,E11/D11-1)</f>
        <v/>
      </c>
      <c r="R11" s="2">
        <f>E11*F11</f>
        <v/>
      </c>
      <c r="S11" s="2">
        <f>H11*(F11*1.5/8)</f>
        <v/>
      </c>
      <c r="T11" s="2">
        <f>R11+S11+L11+M11</f>
        <v/>
      </c>
      <c r="U11">
        <f>IF(G11=0,0,E11/G11)</f>
        <v/>
      </c>
      <c r="V11">
        <f>IF(I11&gt;=95,"A",IF(I11&gt;=85,"B",IF(I11&gt;=75,"C","D")))</f>
        <v/>
      </c>
      <c r="W11">
        <f>ROUND((J11*35)+(I11*0.25)+(U11*0.2)+(IF(Q11&gt;0,100,MAX(0,100+Q11*100))*0.2),2)</f>
        <v/>
      </c>
      <c r="X11" s="2">
        <f>ROUND(T11*N11*IF(V11="A",1.25,IF(V11="B",1.1,IF(V11="C",0.9,0.5))),2)</f>
        <v/>
      </c>
      <c r="Y11">
        <f>IF(OR(I11&lt;80,J11&lt;0.75,E11&lt;D11*0.85),"HIGH",IF(OR(I11&lt;90,J11&lt;0.9),"MEDIUM","LOW"))</f>
        <v/>
      </c>
      <c r="Z11" s="2">
        <f>ROUND(E11*INDEX(Rules!$B$2:$B$6,MATCH(O11,Rules!$A$2:$A$6,0))*INDEX(Rules!$C$2:$C$5,MATCH(V11,Rules!$D$2:$D$5,0)),2)</f>
        <v/>
      </c>
      <c r="AA11" s="2">
        <f>Z11-T11-X11</f>
        <v/>
      </c>
      <c r="AB11" s="3">
        <f>IF(Z11=0,0,AA11/Z11)</f>
        <v/>
      </c>
      <c r="AC11">
        <f>UPPER(LEFT(A11,3)&amp;"-"&amp;LEFT(B11,3)&amp;"-"&amp;TEXT(ROW()-1,"000"))</f>
        <v/>
      </c>
      <c r="AD11">
        <f>INDEX(Rules!$E$2:$E$6,MATCH(O11,Rules!$A$2:$A$6,0))</f>
        <v/>
      </c>
      <c r="AE11" s="2">
        <f>ROUND(AA11*AD11,2)</f>
        <v/>
      </c>
      <c r="AF11">
        <f>RANK(W11,$W$2:$W$181,0)</f>
        <v/>
      </c>
      <c r="AG11">
        <f>IF(AND(AB11&gt;0.18,Y11="LOW"),"PASS",IF(AB11&gt;0.08,"WATCH","FAIL"))</f>
        <v/>
      </c>
      <c r="AH11">
        <f>IFERROR(IF(VLOOKUP(A11,Rules!$G$2:$H$13,2,FALSE)="Priority","Priority Region","Standard Region"),"Standard Region")</f>
        <v/>
      </c>
      <c r="AI11">
        <f>ROUND(SUMPRODUCT(E11:J11,{0.08,0.08,0.15,0.1,0.25,0.34}),2)</f>
        <v/>
      </c>
      <c r="AJ11" s="2">
        <f>ROUND(AE11*INDEX(Rules!$J$2:$J$5,MATCH(MONTH(K11),Rules!$I$2:$I$5,1)),2)</f>
        <v/>
      </c>
    </row>
    <row r="12">
      <c r="A12" t="inlineStr">
        <is>
          <t>Syrdarya</t>
        </is>
      </c>
      <c r="B12" t="inlineStr">
        <is>
          <t>East-4</t>
        </is>
      </c>
      <c r="C12" t="inlineStr">
        <is>
          <t>Malika Ergasheva</t>
        </is>
      </c>
      <c r="D12" t="n">
        <v>157</v>
      </c>
      <c r="E12" t="n">
        <v>146</v>
      </c>
      <c r="F12" s="2" t="n">
        <v>214</v>
      </c>
      <c r="G12" t="n">
        <v>20</v>
      </c>
      <c r="H12" t="n">
        <v>11</v>
      </c>
      <c r="I12" t="n">
        <v>90</v>
      </c>
      <c r="J12" s="3" t="n">
        <v>0.9298999999999999</v>
      </c>
      <c r="K12" s="4" t="inlineStr">
        <is>
          <t>2026-11-01</t>
        </is>
      </c>
      <c r="L12" s="2" t="n">
        <v>128</v>
      </c>
      <c r="M12" s="2" t="n">
        <v>25</v>
      </c>
      <c r="N12" s="3" t="n">
        <v>0.0925</v>
      </c>
      <c r="O12" t="inlineStr">
        <is>
          <t>Tier-2</t>
        </is>
      </c>
      <c r="P12">
        <f>E12-D12</f>
        <v/>
      </c>
      <c r="Q12" s="3">
        <f>IF(D12=0,0,E12/D12-1)</f>
        <v/>
      </c>
      <c r="R12" s="2">
        <f>E12*F12</f>
        <v/>
      </c>
      <c r="S12" s="2">
        <f>H12*(F12*1.5/8)</f>
        <v/>
      </c>
      <c r="T12" s="2">
        <f>R12+S12+L12+M12</f>
        <v/>
      </c>
      <c r="U12">
        <f>IF(G12=0,0,E12/G12)</f>
        <v/>
      </c>
      <c r="V12">
        <f>IF(I12&gt;=95,"A",IF(I12&gt;=85,"B",IF(I12&gt;=75,"C","D")))</f>
        <v/>
      </c>
      <c r="W12">
        <f>ROUND((J12*35)+(I12*0.25)+(U12*0.2)+(IF(Q12&gt;0,100,MAX(0,100+Q12*100))*0.2),2)</f>
        <v/>
      </c>
      <c r="X12" s="2">
        <f>ROUND(T12*N12*IF(V12="A",1.25,IF(V12="B",1.1,IF(V12="C",0.9,0.5))),2)</f>
        <v/>
      </c>
      <c r="Y12">
        <f>IF(OR(I12&lt;80,J12&lt;0.75,E12&lt;D12*0.85),"HIGH",IF(OR(I12&lt;90,J12&lt;0.9),"MEDIUM","LOW"))</f>
        <v/>
      </c>
      <c r="Z12" s="2">
        <f>ROUND(E12*INDEX(Rules!$B$2:$B$6,MATCH(O12,Rules!$A$2:$A$6,0))*INDEX(Rules!$C$2:$C$5,MATCH(V12,Rules!$D$2:$D$5,0)),2)</f>
        <v/>
      </c>
      <c r="AA12" s="2">
        <f>Z12-T12-X12</f>
        <v/>
      </c>
      <c r="AB12" s="3">
        <f>IF(Z12=0,0,AA12/Z12)</f>
        <v/>
      </c>
      <c r="AC12">
        <f>UPPER(LEFT(A12,3)&amp;"-"&amp;LEFT(B12,3)&amp;"-"&amp;TEXT(ROW()-1,"000"))</f>
        <v/>
      </c>
      <c r="AD12">
        <f>INDEX(Rules!$E$2:$E$6,MATCH(O12,Rules!$A$2:$A$6,0))</f>
        <v/>
      </c>
      <c r="AE12" s="2">
        <f>ROUND(AA12*AD12,2)</f>
        <v/>
      </c>
      <c r="AF12">
        <f>RANK(W12,$W$2:$W$181,0)</f>
        <v/>
      </c>
      <c r="AG12">
        <f>IF(AND(AB12&gt;0.18,Y12="LOW"),"PASS",IF(AB12&gt;0.08,"WATCH","FAIL"))</f>
        <v/>
      </c>
      <c r="AH12">
        <f>IFERROR(IF(VLOOKUP(A12,Rules!$G$2:$H$13,2,FALSE)="Priority","Priority Region","Standard Region"),"Standard Region")</f>
        <v/>
      </c>
      <c r="AI12">
        <f>ROUND(SUMPRODUCT(E12:J12,{0.08,0.08,0.15,0.1,0.25,0.34}),2)</f>
        <v/>
      </c>
      <c r="AJ12" s="2">
        <f>ROUND(AE12*INDEX(Rules!$J$2:$J$5,MATCH(MONTH(K12),Rules!$I$2:$I$5,1)),2)</f>
        <v/>
      </c>
    </row>
    <row r="13">
      <c r="A13" t="inlineStr">
        <is>
          <t>Tashkent</t>
        </is>
      </c>
      <c r="B13" t="inlineStr">
        <is>
          <t>West-1</t>
        </is>
      </c>
      <c r="C13" t="inlineStr">
        <is>
          <t>Shahzod Islomov</t>
        </is>
      </c>
      <c r="D13" t="n">
        <v>164</v>
      </c>
      <c r="E13" t="n">
        <v>160</v>
      </c>
      <c r="F13" s="2" t="n">
        <v>223</v>
      </c>
      <c r="G13" t="n">
        <v>21</v>
      </c>
      <c r="H13" t="n">
        <v>14</v>
      </c>
      <c r="I13" t="n">
        <v>95</v>
      </c>
      <c r="J13" s="3" t="n">
        <v>0.9756</v>
      </c>
      <c r="K13" s="4" t="inlineStr">
        <is>
          <t>2026-12-01</t>
        </is>
      </c>
      <c r="L13" s="2" t="n">
        <v>40</v>
      </c>
      <c r="M13" s="2" t="n">
        <v>30</v>
      </c>
      <c r="N13" s="3" t="n">
        <v>0.03</v>
      </c>
      <c r="O13" t="inlineStr">
        <is>
          <t>Tier-3</t>
        </is>
      </c>
      <c r="P13">
        <f>E13-D13</f>
        <v/>
      </c>
      <c r="Q13" s="3">
        <f>IF(D13=0,0,E13/D13-1)</f>
        <v/>
      </c>
      <c r="R13" s="2">
        <f>E13*F13</f>
        <v/>
      </c>
      <c r="S13" s="2">
        <f>H13*(F13*1.5/8)</f>
        <v/>
      </c>
      <c r="T13" s="2">
        <f>R13+S13+L13+M13</f>
        <v/>
      </c>
      <c r="U13">
        <f>IF(G13=0,0,E13/G13)</f>
        <v/>
      </c>
      <c r="V13">
        <f>IF(I13&gt;=95,"A",IF(I13&gt;=85,"B",IF(I13&gt;=75,"C","D")))</f>
        <v/>
      </c>
      <c r="W13">
        <f>ROUND((J13*35)+(I13*0.25)+(U13*0.2)+(IF(Q13&gt;0,100,MAX(0,100+Q13*100))*0.2),2)</f>
        <v/>
      </c>
      <c r="X13" s="2">
        <f>ROUND(T13*N13*IF(V13="A",1.25,IF(V13="B",1.1,IF(V13="C",0.9,0.5))),2)</f>
        <v/>
      </c>
      <c r="Y13">
        <f>IF(OR(I13&lt;80,J13&lt;0.75,E13&lt;D13*0.85),"HIGH",IF(OR(I13&lt;90,J13&lt;0.9),"MEDIUM","LOW"))</f>
        <v/>
      </c>
      <c r="Z13" s="2">
        <f>ROUND(E13*INDEX(Rules!$B$2:$B$6,MATCH(O13,Rules!$A$2:$A$6,0))*INDEX(Rules!$C$2:$C$5,MATCH(V13,Rules!$D$2:$D$5,0)),2)</f>
        <v/>
      </c>
      <c r="AA13" s="2">
        <f>Z13-T13-X13</f>
        <v/>
      </c>
      <c r="AB13" s="3">
        <f>IF(Z13=0,0,AA13/Z13)</f>
        <v/>
      </c>
      <c r="AC13">
        <f>UPPER(LEFT(A13,3)&amp;"-"&amp;LEFT(B13,3)&amp;"-"&amp;TEXT(ROW()-1,"000"))</f>
        <v/>
      </c>
      <c r="AD13">
        <f>INDEX(Rules!$E$2:$E$6,MATCH(O13,Rules!$A$2:$A$6,0))</f>
        <v/>
      </c>
      <c r="AE13" s="2">
        <f>ROUND(AA13*AD13,2)</f>
        <v/>
      </c>
      <c r="AF13">
        <f>RANK(W13,$W$2:$W$181,0)</f>
        <v/>
      </c>
      <c r="AG13">
        <f>IF(AND(AB13&gt;0.18,Y13="LOW"),"PASS",IF(AB13&gt;0.08,"WATCH","FAIL"))</f>
        <v/>
      </c>
      <c r="AH13">
        <f>IFERROR(IF(VLOOKUP(A13,Rules!$G$2:$H$13,2,FALSE)="Priority","Priority Region","Standard Region"),"Standard Region")</f>
        <v/>
      </c>
      <c r="AI13">
        <f>ROUND(SUMPRODUCT(E13:J13,{0.08,0.08,0.15,0.1,0.25,0.34}),2)</f>
        <v/>
      </c>
      <c r="AJ13" s="2">
        <f>ROUND(AE13*INDEX(Rules!$J$2:$J$5,MATCH(MONTH(K13),Rules!$I$2:$I$5,1)),2)</f>
        <v/>
      </c>
    </row>
    <row r="14">
      <c r="A14" t="inlineStr">
        <is>
          <t>Samarkand</t>
        </is>
      </c>
      <c r="B14" t="inlineStr">
        <is>
          <t>Industrial-2</t>
        </is>
      </c>
      <c r="C14" t="inlineStr">
        <is>
          <t>Nilufar Tursunova</t>
        </is>
      </c>
      <c r="D14" t="n">
        <v>171</v>
      </c>
      <c r="E14" t="n">
        <v>174</v>
      </c>
      <c r="F14" s="2" t="n">
        <v>232</v>
      </c>
      <c r="G14" t="n">
        <v>22</v>
      </c>
      <c r="H14" t="n">
        <v>17</v>
      </c>
      <c r="I14" t="n">
        <v>100</v>
      </c>
      <c r="J14" s="3" t="n">
        <v>1.0175</v>
      </c>
      <c r="K14" s="4" t="inlineStr">
        <is>
          <t>2026-01-01</t>
        </is>
      </c>
      <c r="L14" s="2" t="n">
        <v>48</v>
      </c>
      <c r="M14" s="2" t="n">
        <v>35</v>
      </c>
      <c r="N14" s="3" t="n">
        <v>0.0425</v>
      </c>
      <c r="O14" t="inlineStr">
        <is>
          <t>Tier-4</t>
        </is>
      </c>
      <c r="P14">
        <f>E14-D14</f>
        <v/>
      </c>
      <c r="Q14" s="3">
        <f>IF(D14=0,0,E14/D14-1)</f>
        <v/>
      </c>
      <c r="R14" s="2">
        <f>E14*F14</f>
        <v/>
      </c>
      <c r="S14" s="2">
        <f>H14*(F14*1.5/8)</f>
        <v/>
      </c>
      <c r="T14" s="2">
        <f>R14+S14+L14+M14</f>
        <v/>
      </c>
      <c r="U14">
        <f>IF(G14=0,0,E14/G14)</f>
        <v/>
      </c>
      <c r="V14">
        <f>IF(I14&gt;=95,"A",IF(I14&gt;=85,"B",IF(I14&gt;=75,"C","D")))</f>
        <v/>
      </c>
      <c r="W14">
        <f>ROUND((J14*35)+(I14*0.25)+(U14*0.2)+(IF(Q14&gt;0,100,MAX(0,100+Q14*100))*0.2),2)</f>
        <v/>
      </c>
      <c r="X14" s="2">
        <f>ROUND(T14*N14*IF(V14="A",1.25,IF(V14="B",1.1,IF(V14="C",0.9,0.5))),2)</f>
        <v/>
      </c>
      <c r="Y14">
        <f>IF(OR(I14&lt;80,J14&lt;0.75,E14&lt;D14*0.85),"HIGH",IF(OR(I14&lt;90,J14&lt;0.9),"MEDIUM","LOW"))</f>
        <v/>
      </c>
      <c r="Z14" s="2">
        <f>ROUND(E14*INDEX(Rules!$B$2:$B$6,MATCH(O14,Rules!$A$2:$A$6,0))*INDEX(Rules!$C$2:$C$5,MATCH(V14,Rules!$D$2:$D$5,0)),2)</f>
        <v/>
      </c>
      <c r="AA14" s="2">
        <f>Z14-T14-X14</f>
        <v/>
      </c>
      <c r="AB14" s="3">
        <f>IF(Z14=0,0,AA14/Z14)</f>
        <v/>
      </c>
      <c r="AC14">
        <f>UPPER(LEFT(A14,3)&amp;"-"&amp;LEFT(B14,3)&amp;"-"&amp;TEXT(ROW()-1,"000"))</f>
        <v/>
      </c>
      <c r="AD14">
        <f>INDEX(Rules!$E$2:$E$6,MATCH(O14,Rules!$A$2:$A$6,0))</f>
        <v/>
      </c>
      <c r="AE14" s="2">
        <f>ROUND(AA14*AD14,2)</f>
        <v/>
      </c>
      <c r="AF14">
        <f>RANK(W14,$W$2:$W$181,0)</f>
        <v/>
      </c>
      <c r="AG14">
        <f>IF(AND(AB14&gt;0.18,Y14="LOW"),"PASS",IF(AB14&gt;0.08,"WATCH","FAIL"))</f>
        <v/>
      </c>
      <c r="AH14">
        <f>IFERROR(IF(VLOOKUP(A14,Rules!$G$2:$H$13,2,FALSE)="Priority","Priority Region","Standard Region"),"Standard Region")</f>
        <v/>
      </c>
      <c r="AI14">
        <f>ROUND(SUMPRODUCT(E14:J14,{0.08,0.08,0.15,0.1,0.25,0.34}),2)</f>
        <v/>
      </c>
      <c r="AJ14" s="2">
        <f>ROUND(AE14*INDEX(Rules!$J$2:$J$5,MATCH(MONTH(K14),Rules!$I$2:$I$5,1)),2)</f>
        <v/>
      </c>
    </row>
    <row r="15">
      <c r="A15" t="inlineStr">
        <is>
          <t>Bukhara</t>
        </is>
      </c>
      <c r="B15" t="inlineStr">
        <is>
          <t>Rural-3</t>
        </is>
      </c>
      <c r="C15" t="inlineStr">
        <is>
          <t>Sardor Jabborov</t>
        </is>
      </c>
      <c r="D15" t="n">
        <v>178</v>
      </c>
      <c r="E15" t="n">
        <v>188</v>
      </c>
      <c r="F15" s="2" t="n">
        <v>115</v>
      </c>
      <c r="G15" t="n">
        <v>23</v>
      </c>
      <c r="H15" t="n">
        <v>20</v>
      </c>
      <c r="I15" t="n">
        <v>72</v>
      </c>
      <c r="J15" s="3" t="n">
        <v>1.0562</v>
      </c>
      <c r="K15" s="4" t="inlineStr">
        <is>
          <t>2026-02-01</t>
        </is>
      </c>
      <c r="L15" s="2" t="n">
        <v>56</v>
      </c>
      <c r="M15" s="2" t="n">
        <v>40</v>
      </c>
      <c r="N15" s="3" t="n">
        <v>0.055</v>
      </c>
      <c r="O15" t="inlineStr">
        <is>
          <t>Tier-5</t>
        </is>
      </c>
      <c r="P15">
        <f>E15-D15</f>
        <v/>
      </c>
      <c r="Q15" s="3">
        <f>IF(D15=0,0,E15/D15-1)</f>
        <v/>
      </c>
      <c r="R15" s="2">
        <f>E15*F15</f>
        <v/>
      </c>
      <c r="S15" s="2">
        <f>H15*(F15*1.5/8)</f>
        <v/>
      </c>
      <c r="T15" s="2">
        <f>R15+S15+L15+M15</f>
        <v/>
      </c>
      <c r="U15">
        <f>IF(G15=0,0,E15/G15)</f>
        <v/>
      </c>
      <c r="V15">
        <f>IF(I15&gt;=95,"A",IF(I15&gt;=85,"B",IF(I15&gt;=75,"C","D")))</f>
        <v/>
      </c>
      <c r="W15">
        <f>ROUND((J15*35)+(I15*0.25)+(U15*0.2)+(IF(Q15&gt;0,100,MAX(0,100+Q15*100))*0.2),2)</f>
        <v/>
      </c>
      <c r="X15" s="2">
        <f>ROUND(T15*N15*IF(V15="A",1.25,IF(V15="B",1.1,IF(V15="C",0.9,0.5))),2)</f>
        <v/>
      </c>
      <c r="Y15">
        <f>IF(OR(I15&lt;80,J15&lt;0.75,E15&lt;D15*0.85),"HIGH",IF(OR(I15&lt;90,J15&lt;0.9),"MEDIUM","LOW"))</f>
        <v/>
      </c>
      <c r="Z15" s="2">
        <f>ROUND(E15*INDEX(Rules!$B$2:$B$6,MATCH(O15,Rules!$A$2:$A$6,0))*INDEX(Rules!$C$2:$C$5,MATCH(V15,Rules!$D$2:$D$5,0)),2)</f>
        <v/>
      </c>
      <c r="AA15" s="2">
        <f>Z15-T15-X15</f>
        <v/>
      </c>
      <c r="AB15" s="3">
        <f>IF(Z15=0,0,AA15/Z15)</f>
        <v/>
      </c>
      <c r="AC15">
        <f>UPPER(LEFT(A15,3)&amp;"-"&amp;LEFT(B15,3)&amp;"-"&amp;TEXT(ROW()-1,"000"))</f>
        <v/>
      </c>
      <c r="AD15">
        <f>INDEX(Rules!$E$2:$E$6,MATCH(O15,Rules!$A$2:$A$6,0))</f>
        <v/>
      </c>
      <c r="AE15" s="2">
        <f>ROUND(AA15*AD15,2)</f>
        <v/>
      </c>
      <c r="AF15">
        <f>RANK(W15,$W$2:$W$181,0)</f>
        <v/>
      </c>
      <c r="AG15">
        <f>IF(AND(AB15&gt;0.18,Y15="LOW"),"PASS",IF(AB15&gt;0.08,"WATCH","FAIL"))</f>
        <v/>
      </c>
      <c r="AH15">
        <f>IFERROR(IF(VLOOKUP(A15,Rules!$G$2:$H$13,2,FALSE)="Priority","Priority Region","Standard Region"),"Standard Region")</f>
        <v/>
      </c>
      <c r="AI15">
        <f>ROUND(SUMPRODUCT(E15:J15,{0.08,0.08,0.15,0.1,0.25,0.34}),2)</f>
        <v/>
      </c>
      <c r="AJ15" s="2">
        <f>ROUND(AE15*INDEX(Rules!$J$2:$J$5,MATCH(MONTH(K15),Rules!$I$2:$I$5,1)),2)</f>
        <v/>
      </c>
    </row>
    <row r="16">
      <c r="A16" t="inlineStr">
        <is>
          <t>Andijan</t>
        </is>
      </c>
      <c r="B16" t="inlineStr">
        <is>
          <t>Urban-4</t>
        </is>
      </c>
      <c r="C16" t="inlineStr">
        <is>
          <t>Kamola Rahimova</t>
        </is>
      </c>
      <c r="D16" t="n">
        <v>185</v>
      </c>
      <c r="E16" t="n">
        <v>197</v>
      </c>
      <c r="F16" s="2" t="n">
        <v>124</v>
      </c>
      <c r="G16" t="n">
        <v>24</v>
      </c>
      <c r="H16" t="n">
        <v>1</v>
      </c>
      <c r="I16" t="n">
        <v>77</v>
      </c>
      <c r="J16" s="3" t="n">
        <v>1.0649</v>
      </c>
      <c r="K16" s="4" t="inlineStr">
        <is>
          <t>2026-03-01</t>
        </is>
      </c>
      <c r="L16" s="2" t="n">
        <v>64</v>
      </c>
      <c r="M16" s="2" t="n">
        <v>45</v>
      </c>
      <c r="N16" s="3" t="n">
        <v>0.0675</v>
      </c>
      <c r="O16" t="inlineStr">
        <is>
          <t>Tier-1</t>
        </is>
      </c>
      <c r="P16">
        <f>E16-D16</f>
        <v/>
      </c>
      <c r="Q16" s="3">
        <f>IF(D16=0,0,E16/D16-1)</f>
        <v/>
      </c>
      <c r="R16" s="2">
        <f>E16*F16</f>
        <v/>
      </c>
      <c r="S16" s="2">
        <f>H16*(F16*1.5/8)</f>
        <v/>
      </c>
      <c r="T16" s="2">
        <f>R16+S16+L16+M16</f>
        <v/>
      </c>
      <c r="U16">
        <f>IF(G16=0,0,E16/G16)</f>
        <v/>
      </c>
      <c r="V16">
        <f>IF(I16&gt;=95,"A",IF(I16&gt;=85,"B",IF(I16&gt;=75,"C","D")))</f>
        <v/>
      </c>
      <c r="W16">
        <f>ROUND((J16*35)+(I16*0.25)+(U16*0.2)+(IF(Q16&gt;0,100,MAX(0,100+Q16*100))*0.2),2)</f>
        <v/>
      </c>
      <c r="X16" s="2">
        <f>ROUND(T16*N16*IF(V16="A",1.25,IF(V16="B",1.1,IF(V16="C",0.9,0.5))),2)</f>
        <v/>
      </c>
      <c r="Y16">
        <f>IF(OR(I16&lt;80,J16&lt;0.75,E16&lt;D16*0.85),"HIGH",IF(OR(I16&lt;90,J16&lt;0.9),"MEDIUM","LOW"))</f>
        <v/>
      </c>
      <c r="Z16" s="2">
        <f>ROUND(E16*INDEX(Rules!$B$2:$B$6,MATCH(O16,Rules!$A$2:$A$6,0))*INDEX(Rules!$C$2:$C$5,MATCH(V16,Rules!$D$2:$D$5,0)),2)</f>
        <v/>
      </c>
      <c r="AA16" s="2">
        <f>Z16-T16-X16</f>
        <v/>
      </c>
      <c r="AB16" s="3">
        <f>IF(Z16=0,0,AA16/Z16)</f>
        <v/>
      </c>
      <c r="AC16">
        <f>UPPER(LEFT(A16,3)&amp;"-"&amp;LEFT(B16,3)&amp;"-"&amp;TEXT(ROW()-1,"000"))</f>
        <v/>
      </c>
      <c r="AD16">
        <f>INDEX(Rules!$E$2:$E$6,MATCH(O16,Rules!$A$2:$A$6,0))</f>
        <v/>
      </c>
      <c r="AE16" s="2">
        <f>ROUND(AA16*AD16,2)</f>
        <v/>
      </c>
      <c r="AF16">
        <f>RANK(W16,$W$2:$W$181,0)</f>
        <v/>
      </c>
      <c r="AG16">
        <f>IF(AND(AB16&gt;0.18,Y16="LOW"),"PASS",IF(AB16&gt;0.08,"WATCH","FAIL"))</f>
        <v/>
      </c>
      <c r="AH16">
        <f>IFERROR(IF(VLOOKUP(A16,Rules!$G$2:$H$13,2,FALSE)="Priority","Priority Region","Standard Region"),"Standard Region")</f>
        <v/>
      </c>
      <c r="AI16">
        <f>ROUND(SUMPRODUCT(E16:J16,{0.08,0.08,0.15,0.1,0.25,0.34}),2)</f>
        <v/>
      </c>
      <c r="AJ16" s="2">
        <f>ROUND(AE16*INDEX(Rules!$J$2:$J$5,MATCH(MONTH(K16),Rules!$I$2:$I$5,1)),2)</f>
        <v/>
      </c>
    </row>
    <row r="17">
      <c r="A17" t="inlineStr">
        <is>
          <t>Namangan</t>
        </is>
      </c>
      <c r="B17" t="inlineStr">
        <is>
          <t>Central-1</t>
        </is>
      </c>
      <c r="C17" t="inlineStr">
        <is>
          <t>Aziza Karimova</t>
        </is>
      </c>
      <c r="D17" t="n">
        <v>192</v>
      </c>
      <c r="E17" t="n">
        <v>211</v>
      </c>
      <c r="F17" s="2" t="n">
        <v>133</v>
      </c>
      <c r="G17" t="n">
        <v>25</v>
      </c>
      <c r="H17" t="n">
        <v>4</v>
      </c>
      <c r="I17" t="n">
        <v>82</v>
      </c>
      <c r="J17" s="3" t="n">
        <v>1.099</v>
      </c>
      <c r="K17" s="4" t="inlineStr">
        <is>
          <t>2026-04-01</t>
        </is>
      </c>
      <c r="L17" s="2" t="n">
        <v>72</v>
      </c>
      <c r="M17" s="2" t="n">
        <v>50</v>
      </c>
      <c r="N17" s="3" t="n">
        <v>0.08</v>
      </c>
      <c r="O17" t="inlineStr">
        <is>
          <t>Tier-2</t>
        </is>
      </c>
      <c r="P17">
        <f>E17-D17</f>
        <v/>
      </c>
      <c r="Q17" s="3">
        <f>IF(D17=0,0,E17/D17-1)</f>
        <v/>
      </c>
      <c r="R17" s="2">
        <f>E17*F17</f>
        <v/>
      </c>
      <c r="S17" s="2">
        <f>H17*(F17*1.5/8)</f>
        <v/>
      </c>
      <c r="T17" s="2">
        <f>R17+S17+L17+M17</f>
        <v/>
      </c>
      <c r="U17">
        <f>IF(G17=0,0,E17/G17)</f>
        <v/>
      </c>
      <c r="V17">
        <f>IF(I17&gt;=95,"A",IF(I17&gt;=85,"B",IF(I17&gt;=75,"C","D")))</f>
        <v/>
      </c>
      <c r="W17">
        <f>ROUND((J17*35)+(I17*0.25)+(U17*0.2)+(IF(Q17&gt;0,100,MAX(0,100+Q17*100))*0.2),2)</f>
        <v/>
      </c>
      <c r="X17" s="2">
        <f>ROUND(T17*N17*IF(V17="A",1.25,IF(V17="B",1.1,IF(V17="C",0.9,0.5))),2)</f>
        <v/>
      </c>
      <c r="Y17">
        <f>IF(OR(I17&lt;80,J17&lt;0.75,E17&lt;D17*0.85),"HIGH",IF(OR(I17&lt;90,J17&lt;0.9),"MEDIUM","LOW"))</f>
        <v/>
      </c>
      <c r="Z17" s="2">
        <f>ROUND(E17*INDEX(Rules!$B$2:$B$6,MATCH(O17,Rules!$A$2:$A$6,0))*INDEX(Rules!$C$2:$C$5,MATCH(V17,Rules!$D$2:$D$5,0)),2)</f>
        <v/>
      </c>
      <c r="AA17" s="2">
        <f>Z17-T17-X17</f>
        <v/>
      </c>
      <c r="AB17" s="3">
        <f>IF(Z17=0,0,AA17/Z17)</f>
        <v/>
      </c>
      <c r="AC17">
        <f>UPPER(LEFT(A17,3)&amp;"-"&amp;LEFT(B17,3)&amp;"-"&amp;TEXT(ROW()-1,"000"))</f>
        <v/>
      </c>
      <c r="AD17">
        <f>INDEX(Rules!$E$2:$E$6,MATCH(O17,Rules!$A$2:$A$6,0))</f>
        <v/>
      </c>
      <c r="AE17" s="2">
        <f>ROUND(AA17*AD17,2)</f>
        <v/>
      </c>
      <c r="AF17">
        <f>RANK(W17,$W$2:$W$181,0)</f>
        <v/>
      </c>
      <c r="AG17">
        <f>IF(AND(AB17&gt;0.18,Y17="LOW"),"PASS",IF(AB17&gt;0.08,"WATCH","FAIL"))</f>
        <v/>
      </c>
      <c r="AH17">
        <f>IFERROR(IF(VLOOKUP(A17,Rules!$G$2:$H$13,2,FALSE)="Priority","Priority Region","Standard Region"),"Standard Region")</f>
        <v/>
      </c>
      <c r="AI17">
        <f>ROUND(SUMPRODUCT(E17:J17,{0.08,0.08,0.15,0.1,0.25,0.34}),2)</f>
        <v/>
      </c>
      <c r="AJ17" s="2">
        <f>ROUND(AE17*INDEX(Rules!$J$2:$J$5,MATCH(MONTH(K17),Rules!$I$2:$I$5,1)),2)</f>
        <v/>
      </c>
    </row>
    <row r="18">
      <c r="A18" t="inlineStr">
        <is>
          <t>Fergana</t>
        </is>
      </c>
      <c r="B18" t="inlineStr">
        <is>
          <t>North-2</t>
        </is>
      </c>
      <c r="C18" t="inlineStr">
        <is>
          <t>Bekzod Aliyev</t>
        </is>
      </c>
      <c r="D18" t="n">
        <v>199</v>
      </c>
      <c r="E18" t="n">
        <v>225</v>
      </c>
      <c r="F18" s="2" t="n">
        <v>142</v>
      </c>
      <c r="G18" t="n">
        <v>26</v>
      </c>
      <c r="H18" t="n">
        <v>7</v>
      </c>
      <c r="I18" t="n">
        <v>87</v>
      </c>
      <c r="J18" s="3" t="n">
        <v>1.1307</v>
      </c>
      <c r="K18" s="4" t="inlineStr">
        <is>
          <t>2026-05-01</t>
        </is>
      </c>
      <c r="L18" s="2" t="n">
        <v>80</v>
      </c>
      <c r="M18" s="2" t="n">
        <v>55</v>
      </c>
      <c r="N18" s="3" t="n">
        <v>0.0925</v>
      </c>
      <c r="O18" t="inlineStr">
        <is>
          <t>Tier-3</t>
        </is>
      </c>
      <c r="P18">
        <f>E18-D18</f>
        <v/>
      </c>
      <c r="Q18" s="3">
        <f>IF(D18=0,0,E18/D18-1)</f>
        <v/>
      </c>
      <c r="R18" s="2">
        <f>E18*F18</f>
        <v/>
      </c>
      <c r="S18" s="2">
        <f>H18*(F18*1.5/8)</f>
        <v/>
      </c>
      <c r="T18" s="2">
        <f>R18+S18+L18+M18</f>
        <v/>
      </c>
      <c r="U18">
        <f>IF(G18=0,0,E18/G18)</f>
        <v/>
      </c>
      <c r="V18">
        <f>IF(I18&gt;=95,"A",IF(I18&gt;=85,"B",IF(I18&gt;=75,"C","D")))</f>
        <v/>
      </c>
      <c r="W18">
        <f>ROUND((J18*35)+(I18*0.25)+(U18*0.2)+(IF(Q18&gt;0,100,MAX(0,100+Q18*100))*0.2),2)</f>
        <v/>
      </c>
      <c r="X18" s="2">
        <f>ROUND(T18*N18*IF(V18="A",1.25,IF(V18="B",1.1,IF(V18="C",0.9,0.5))),2)</f>
        <v/>
      </c>
      <c r="Y18">
        <f>IF(OR(I18&lt;80,J18&lt;0.75,E18&lt;D18*0.85),"HIGH",IF(OR(I18&lt;90,J18&lt;0.9),"MEDIUM","LOW"))</f>
        <v/>
      </c>
      <c r="Z18" s="2">
        <f>ROUND(E18*INDEX(Rules!$B$2:$B$6,MATCH(O18,Rules!$A$2:$A$6,0))*INDEX(Rules!$C$2:$C$5,MATCH(V18,Rules!$D$2:$D$5,0)),2)</f>
        <v/>
      </c>
      <c r="AA18" s="2">
        <f>Z18-T18-X18</f>
        <v/>
      </c>
      <c r="AB18" s="3">
        <f>IF(Z18=0,0,AA18/Z18)</f>
        <v/>
      </c>
      <c r="AC18">
        <f>UPPER(LEFT(A18,3)&amp;"-"&amp;LEFT(B18,3)&amp;"-"&amp;TEXT(ROW()-1,"000"))</f>
        <v/>
      </c>
      <c r="AD18">
        <f>INDEX(Rules!$E$2:$E$6,MATCH(O18,Rules!$A$2:$A$6,0))</f>
        <v/>
      </c>
      <c r="AE18" s="2">
        <f>ROUND(AA18*AD18,2)</f>
        <v/>
      </c>
      <c r="AF18">
        <f>RANK(W18,$W$2:$W$181,0)</f>
        <v/>
      </c>
      <c r="AG18">
        <f>IF(AND(AB18&gt;0.18,Y18="LOW"),"PASS",IF(AB18&gt;0.08,"WATCH","FAIL"))</f>
        <v/>
      </c>
      <c r="AH18">
        <f>IFERROR(IF(VLOOKUP(A18,Rules!$G$2:$H$13,2,FALSE)="Priority","Priority Region","Standard Region"),"Standard Region")</f>
        <v/>
      </c>
      <c r="AI18">
        <f>ROUND(SUMPRODUCT(E18:J18,{0.08,0.08,0.15,0.1,0.25,0.34}),2)</f>
        <v/>
      </c>
      <c r="AJ18" s="2">
        <f>ROUND(AE18*INDEX(Rules!$J$2:$J$5,MATCH(MONTH(K18),Rules!$I$2:$I$5,1)),2)</f>
        <v/>
      </c>
    </row>
    <row r="19">
      <c r="A19" t="inlineStr">
        <is>
          <t>Kashkadarya</t>
        </is>
      </c>
      <c r="B19" t="inlineStr">
        <is>
          <t>South-3</t>
        </is>
      </c>
      <c r="C19" t="inlineStr">
        <is>
          <t>Dilshod Rustamov</t>
        </is>
      </c>
      <c r="D19" t="n">
        <v>206</v>
      </c>
      <c r="E19" t="n">
        <v>185</v>
      </c>
      <c r="F19" s="2" t="n">
        <v>151</v>
      </c>
      <c r="G19" t="n">
        <v>18</v>
      </c>
      <c r="H19" t="n">
        <v>10</v>
      </c>
      <c r="I19" t="n">
        <v>92</v>
      </c>
      <c r="J19" s="3" t="n">
        <v>0.8981</v>
      </c>
      <c r="K19" s="4" t="inlineStr">
        <is>
          <t>2026-06-01</t>
        </is>
      </c>
      <c r="L19" s="2" t="n">
        <v>88</v>
      </c>
      <c r="M19" s="2" t="n">
        <v>60</v>
      </c>
      <c r="N19" s="3" t="n">
        <v>0.03</v>
      </c>
      <c r="O19" t="inlineStr">
        <is>
          <t>Tier-4</t>
        </is>
      </c>
      <c r="P19">
        <f>E19-D19</f>
        <v/>
      </c>
      <c r="Q19" s="3">
        <f>IF(D19=0,0,E19/D19-1)</f>
        <v/>
      </c>
      <c r="R19" s="2">
        <f>E19*F19</f>
        <v/>
      </c>
      <c r="S19" s="2">
        <f>H19*(F19*1.5/8)</f>
        <v/>
      </c>
      <c r="T19" s="2">
        <f>R19+S19+L19+M19</f>
        <v/>
      </c>
      <c r="U19">
        <f>IF(G19=0,0,E19/G19)</f>
        <v/>
      </c>
      <c r="V19">
        <f>IF(I19&gt;=95,"A",IF(I19&gt;=85,"B",IF(I19&gt;=75,"C","D")))</f>
        <v/>
      </c>
      <c r="W19">
        <f>ROUND((J19*35)+(I19*0.25)+(U19*0.2)+(IF(Q19&gt;0,100,MAX(0,100+Q19*100))*0.2),2)</f>
        <v/>
      </c>
      <c r="X19" s="2">
        <f>ROUND(T19*N19*IF(V19="A",1.25,IF(V19="B",1.1,IF(V19="C",0.9,0.5))),2)</f>
        <v/>
      </c>
      <c r="Y19">
        <f>IF(OR(I19&lt;80,J19&lt;0.75,E19&lt;D19*0.85),"HIGH",IF(OR(I19&lt;90,J19&lt;0.9),"MEDIUM","LOW"))</f>
        <v/>
      </c>
      <c r="Z19" s="2">
        <f>ROUND(E19*INDEX(Rules!$B$2:$B$6,MATCH(O19,Rules!$A$2:$A$6,0))*INDEX(Rules!$C$2:$C$5,MATCH(V19,Rules!$D$2:$D$5,0)),2)</f>
        <v/>
      </c>
      <c r="AA19" s="2">
        <f>Z19-T19-X19</f>
        <v/>
      </c>
      <c r="AB19" s="3">
        <f>IF(Z19=0,0,AA19/Z19)</f>
        <v/>
      </c>
      <c r="AC19">
        <f>UPPER(LEFT(A19,3)&amp;"-"&amp;LEFT(B19,3)&amp;"-"&amp;TEXT(ROW()-1,"000"))</f>
        <v/>
      </c>
      <c r="AD19">
        <f>INDEX(Rules!$E$2:$E$6,MATCH(O19,Rules!$A$2:$A$6,0))</f>
        <v/>
      </c>
      <c r="AE19" s="2">
        <f>ROUND(AA19*AD19,2)</f>
        <v/>
      </c>
      <c r="AF19">
        <f>RANK(W19,$W$2:$W$181,0)</f>
        <v/>
      </c>
      <c r="AG19">
        <f>IF(AND(AB19&gt;0.18,Y19="LOW"),"PASS",IF(AB19&gt;0.08,"WATCH","FAIL"))</f>
        <v/>
      </c>
      <c r="AH19">
        <f>IFERROR(IF(VLOOKUP(A19,Rules!$G$2:$H$13,2,FALSE)="Priority","Priority Region","Standard Region"),"Standard Region")</f>
        <v/>
      </c>
      <c r="AI19">
        <f>ROUND(SUMPRODUCT(E19:J19,{0.08,0.08,0.15,0.1,0.25,0.34}),2)</f>
        <v/>
      </c>
      <c r="AJ19" s="2">
        <f>ROUND(AE19*INDEX(Rules!$J$2:$J$5,MATCH(MONTH(K19),Rules!$I$2:$I$5,1)),2)</f>
        <v/>
      </c>
    </row>
    <row r="20">
      <c r="A20" t="inlineStr">
        <is>
          <t>Surkhandarya</t>
        </is>
      </c>
      <c r="B20" t="inlineStr">
        <is>
          <t>East-4</t>
        </is>
      </c>
      <c r="C20" t="inlineStr">
        <is>
          <t>Malika Ergasheva</t>
        </is>
      </c>
      <c r="D20" t="n">
        <v>213</v>
      </c>
      <c r="E20" t="n">
        <v>199</v>
      </c>
      <c r="F20" s="2" t="n">
        <v>160</v>
      </c>
      <c r="G20" t="n">
        <v>19</v>
      </c>
      <c r="H20" t="n">
        <v>13</v>
      </c>
      <c r="I20" t="n">
        <v>97</v>
      </c>
      <c r="J20" s="3" t="n">
        <v>0.9343</v>
      </c>
      <c r="K20" s="4" t="inlineStr">
        <is>
          <t>2026-07-01</t>
        </is>
      </c>
      <c r="L20" s="2" t="n">
        <v>96</v>
      </c>
      <c r="M20" s="2" t="n">
        <v>65</v>
      </c>
      <c r="N20" s="3" t="n">
        <v>0.0425</v>
      </c>
      <c r="O20" t="inlineStr">
        <is>
          <t>Tier-5</t>
        </is>
      </c>
      <c r="P20">
        <f>E20-D20</f>
        <v/>
      </c>
      <c r="Q20" s="3">
        <f>IF(D20=0,0,E20/D20-1)</f>
        <v/>
      </c>
      <c r="R20" s="2">
        <f>E20*F20</f>
        <v/>
      </c>
      <c r="S20" s="2">
        <f>H20*(F20*1.5/8)</f>
        <v/>
      </c>
      <c r="T20" s="2">
        <f>R20+S20+L20+M20</f>
        <v/>
      </c>
      <c r="U20">
        <f>IF(G20=0,0,E20/G20)</f>
        <v/>
      </c>
      <c r="V20">
        <f>IF(I20&gt;=95,"A",IF(I20&gt;=85,"B",IF(I20&gt;=75,"C","D")))</f>
        <v/>
      </c>
      <c r="W20">
        <f>ROUND((J20*35)+(I20*0.25)+(U20*0.2)+(IF(Q20&gt;0,100,MAX(0,100+Q20*100))*0.2),2)</f>
        <v/>
      </c>
      <c r="X20" s="2">
        <f>ROUND(T20*N20*IF(V20="A",1.25,IF(V20="B",1.1,IF(V20="C",0.9,0.5))),2)</f>
        <v/>
      </c>
      <c r="Y20">
        <f>IF(OR(I20&lt;80,J20&lt;0.75,E20&lt;D20*0.85),"HIGH",IF(OR(I20&lt;90,J20&lt;0.9),"MEDIUM","LOW"))</f>
        <v/>
      </c>
      <c r="Z20" s="2">
        <f>ROUND(E20*INDEX(Rules!$B$2:$B$6,MATCH(O20,Rules!$A$2:$A$6,0))*INDEX(Rules!$C$2:$C$5,MATCH(V20,Rules!$D$2:$D$5,0)),2)</f>
        <v/>
      </c>
      <c r="AA20" s="2">
        <f>Z20-T20-X20</f>
        <v/>
      </c>
      <c r="AB20" s="3">
        <f>IF(Z20=0,0,AA20/Z20)</f>
        <v/>
      </c>
      <c r="AC20">
        <f>UPPER(LEFT(A20,3)&amp;"-"&amp;LEFT(B20,3)&amp;"-"&amp;TEXT(ROW()-1,"000"))</f>
        <v/>
      </c>
      <c r="AD20">
        <f>INDEX(Rules!$E$2:$E$6,MATCH(O20,Rules!$A$2:$A$6,0))</f>
        <v/>
      </c>
      <c r="AE20" s="2">
        <f>ROUND(AA20*AD20,2)</f>
        <v/>
      </c>
      <c r="AF20">
        <f>RANK(W20,$W$2:$W$181,0)</f>
        <v/>
      </c>
      <c r="AG20">
        <f>IF(AND(AB20&gt;0.18,Y20="LOW"),"PASS",IF(AB20&gt;0.08,"WATCH","FAIL"))</f>
        <v/>
      </c>
      <c r="AH20">
        <f>IFERROR(IF(VLOOKUP(A20,Rules!$G$2:$H$13,2,FALSE)="Priority","Priority Region","Standard Region"),"Standard Region")</f>
        <v/>
      </c>
      <c r="AI20">
        <f>ROUND(SUMPRODUCT(E20:J20,{0.08,0.08,0.15,0.1,0.25,0.34}),2)</f>
        <v/>
      </c>
      <c r="AJ20" s="2">
        <f>ROUND(AE20*INDEX(Rules!$J$2:$J$5,MATCH(MONTH(K20),Rules!$I$2:$I$5,1)),2)</f>
        <v/>
      </c>
    </row>
    <row r="21">
      <c r="A21" t="inlineStr">
        <is>
          <t>Khorezm</t>
        </is>
      </c>
      <c r="B21" t="inlineStr">
        <is>
          <t>West-1</t>
        </is>
      </c>
      <c r="C21" t="inlineStr">
        <is>
          <t>Shahzod Islomov</t>
        </is>
      </c>
      <c r="D21" t="n">
        <v>220</v>
      </c>
      <c r="E21" t="n">
        <v>208</v>
      </c>
      <c r="F21" s="2" t="n">
        <v>169</v>
      </c>
      <c r="G21" t="n">
        <v>20</v>
      </c>
      <c r="H21" t="n">
        <v>16</v>
      </c>
      <c r="I21" t="n">
        <v>69</v>
      </c>
      <c r="J21" s="3" t="n">
        <v>0.9455</v>
      </c>
      <c r="K21" s="4" t="inlineStr">
        <is>
          <t>2026-08-01</t>
        </is>
      </c>
      <c r="L21" s="2" t="n">
        <v>104</v>
      </c>
      <c r="M21" s="2" t="n">
        <v>20</v>
      </c>
      <c r="N21" s="3" t="n">
        <v>0.055</v>
      </c>
      <c r="O21" t="inlineStr">
        <is>
          <t>Tier-1</t>
        </is>
      </c>
      <c r="P21">
        <f>E21-D21</f>
        <v/>
      </c>
      <c r="Q21" s="3">
        <f>IF(D21=0,0,E21/D21-1)</f>
        <v/>
      </c>
      <c r="R21" s="2">
        <f>E21*F21</f>
        <v/>
      </c>
      <c r="S21" s="2">
        <f>H21*(F21*1.5/8)</f>
        <v/>
      </c>
      <c r="T21" s="2">
        <f>R21+S21+L21+M21</f>
        <v/>
      </c>
      <c r="U21">
        <f>IF(G21=0,0,E21/G21)</f>
        <v/>
      </c>
      <c r="V21">
        <f>IF(I21&gt;=95,"A",IF(I21&gt;=85,"B",IF(I21&gt;=75,"C","D")))</f>
        <v/>
      </c>
      <c r="W21">
        <f>ROUND((J21*35)+(I21*0.25)+(U21*0.2)+(IF(Q21&gt;0,100,MAX(0,100+Q21*100))*0.2),2)</f>
        <v/>
      </c>
      <c r="X21" s="2">
        <f>ROUND(T21*N21*IF(V21="A",1.25,IF(V21="B",1.1,IF(V21="C",0.9,0.5))),2)</f>
        <v/>
      </c>
      <c r="Y21">
        <f>IF(OR(I21&lt;80,J21&lt;0.75,E21&lt;D21*0.85),"HIGH",IF(OR(I21&lt;90,J21&lt;0.9),"MEDIUM","LOW"))</f>
        <v/>
      </c>
      <c r="Z21" s="2">
        <f>ROUND(E21*INDEX(Rules!$B$2:$B$6,MATCH(O21,Rules!$A$2:$A$6,0))*INDEX(Rules!$C$2:$C$5,MATCH(V21,Rules!$D$2:$D$5,0)),2)</f>
        <v/>
      </c>
      <c r="AA21" s="2">
        <f>Z21-T21-X21</f>
        <v/>
      </c>
      <c r="AB21" s="3">
        <f>IF(Z21=0,0,AA21/Z21)</f>
        <v/>
      </c>
      <c r="AC21">
        <f>UPPER(LEFT(A21,3)&amp;"-"&amp;LEFT(B21,3)&amp;"-"&amp;TEXT(ROW()-1,"000"))</f>
        <v/>
      </c>
      <c r="AD21">
        <f>INDEX(Rules!$E$2:$E$6,MATCH(O21,Rules!$A$2:$A$6,0))</f>
        <v/>
      </c>
      <c r="AE21" s="2">
        <f>ROUND(AA21*AD21,2)</f>
        <v/>
      </c>
      <c r="AF21">
        <f>RANK(W21,$W$2:$W$181,0)</f>
        <v/>
      </c>
      <c r="AG21">
        <f>IF(AND(AB21&gt;0.18,Y21="LOW"),"PASS",IF(AB21&gt;0.08,"WATCH","FAIL"))</f>
        <v/>
      </c>
      <c r="AH21">
        <f>IFERROR(IF(VLOOKUP(A21,Rules!$G$2:$H$13,2,FALSE)="Priority","Priority Region","Standard Region"),"Standard Region")</f>
        <v/>
      </c>
      <c r="AI21">
        <f>ROUND(SUMPRODUCT(E21:J21,{0.08,0.08,0.15,0.1,0.25,0.34}),2)</f>
        <v/>
      </c>
      <c r="AJ21" s="2">
        <f>ROUND(AE21*INDEX(Rules!$J$2:$J$5,MATCH(MONTH(K21),Rules!$I$2:$I$5,1)),2)</f>
        <v/>
      </c>
    </row>
    <row r="22">
      <c r="A22" t="inlineStr">
        <is>
          <t>Jizzakh</t>
        </is>
      </c>
      <c r="B22" t="inlineStr">
        <is>
          <t>Industrial-2</t>
        </is>
      </c>
      <c r="C22" t="inlineStr">
        <is>
          <t>Nilufar Tursunova</t>
        </is>
      </c>
      <c r="D22" t="n">
        <v>227</v>
      </c>
      <c r="E22" t="n">
        <v>222</v>
      </c>
      <c r="F22" s="2" t="n">
        <v>178</v>
      </c>
      <c r="G22" t="n">
        <v>21</v>
      </c>
      <c r="H22" t="n">
        <v>19</v>
      </c>
      <c r="I22" t="n">
        <v>74</v>
      </c>
      <c r="J22" s="3" t="n">
        <v>0.978</v>
      </c>
      <c r="K22" s="4" t="inlineStr">
        <is>
          <t>2026-09-01</t>
        </is>
      </c>
      <c r="L22" s="2" t="n">
        <v>112</v>
      </c>
      <c r="M22" s="2" t="n">
        <v>25</v>
      </c>
      <c r="N22" s="3" t="n">
        <v>0.0675</v>
      </c>
      <c r="O22" t="inlineStr">
        <is>
          <t>Tier-2</t>
        </is>
      </c>
      <c r="P22">
        <f>E22-D22</f>
        <v/>
      </c>
      <c r="Q22" s="3">
        <f>IF(D22=0,0,E22/D22-1)</f>
        <v/>
      </c>
      <c r="R22" s="2">
        <f>E22*F22</f>
        <v/>
      </c>
      <c r="S22" s="2">
        <f>H22*(F22*1.5/8)</f>
        <v/>
      </c>
      <c r="T22" s="2">
        <f>R22+S22+L22+M22</f>
        <v/>
      </c>
      <c r="U22">
        <f>IF(G22=0,0,E22/G22)</f>
        <v/>
      </c>
      <c r="V22">
        <f>IF(I22&gt;=95,"A",IF(I22&gt;=85,"B",IF(I22&gt;=75,"C","D")))</f>
        <v/>
      </c>
      <c r="W22">
        <f>ROUND((J22*35)+(I22*0.25)+(U22*0.2)+(IF(Q22&gt;0,100,MAX(0,100+Q22*100))*0.2),2)</f>
        <v/>
      </c>
      <c r="X22" s="2">
        <f>ROUND(T22*N22*IF(V22="A",1.25,IF(V22="B",1.1,IF(V22="C",0.9,0.5))),2)</f>
        <v/>
      </c>
      <c r="Y22">
        <f>IF(OR(I22&lt;80,J22&lt;0.75,E22&lt;D22*0.85),"HIGH",IF(OR(I22&lt;90,J22&lt;0.9),"MEDIUM","LOW"))</f>
        <v/>
      </c>
      <c r="Z22" s="2">
        <f>ROUND(E22*INDEX(Rules!$B$2:$B$6,MATCH(O22,Rules!$A$2:$A$6,0))*INDEX(Rules!$C$2:$C$5,MATCH(V22,Rules!$D$2:$D$5,0)),2)</f>
        <v/>
      </c>
      <c r="AA22" s="2">
        <f>Z22-T22-X22</f>
        <v/>
      </c>
      <c r="AB22" s="3">
        <f>IF(Z22=0,0,AA22/Z22)</f>
        <v/>
      </c>
      <c r="AC22">
        <f>UPPER(LEFT(A22,3)&amp;"-"&amp;LEFT(B22,3)&amp;"-"&amp;TEXT(ROW()-1,"000"))</f>
        <v/>
      </c>
      <c r="AD22">
        <f>INDEX(Rules!$E$2:$E$6,MATCH(O22,Rules!$A$2:$A$6,0))</f>
        <v/>
      </c>
      <c r="AE22" s="2">
        <f>ROUND(AA22*AD22,2)</f>
        <v/>
      </c>
      <c r="AF22">
        <f>RANK(W22,$W$2:$W$181,0)</f>
        <v/>
      </c>
      <c r="AG22">
        <f>IF(AND(AB22&gt;0.18,Y22="LOW"),"PASS",IF(AB22&gt;0.08,"WATCH","FAIL"))</f>
        <v/>
      </c>
      <c r="AH22">
        <f>IFERROR(IF(VLOOKUP(A22,Rules!$G$2:$H$13,2,FALSE)="Priority","Priority Region","Standard Region"),"Standard Region")</f>
        <v/>
      </c>
      <c r="AI22">
        <f>ROUND(SUMPRODUCT(E22:J22,{0.08,0.08,0.15,0.1,0.25,0.34}),2)</f>
        <v/>
      </c>
      <c r="AJ22" s="2">
        <f>ROUND(AE22*INDEX(Rules!$J$2:$J$5,MATCH(MONTH(K22),Rules!$I$2:$I$5,1)),2)</f>
        <v/>
      </c>
    </row>
    <row r="23">
      <c r="A23" t="inlineStr">
        <is>
          <t>Navoi</t>
        </is>
      </c>
      <c r="B23" t="inlineStr">
        <is>
          <t>Rural-3</t>
        </is>
      </c>
      <c r="C23" t="inlineStr">
        <is>
          <t>Sardor Jabborov</t>
        </is>
      </c>
      <c r="D23" t="n">
        <v>234</v>
      </c>
      <c r="E23" t="n">
        <v>236</v>
      </c>
      <c r="F23" s="2" t="n">
        <v>187</v>
      </c>
      <c r="G23" t="n">
        <v>22</v>
      </c>
      <c r="H23" t="n">
        <v>0</v>
      </c>
      <c r="I23" t="n">
        <v>79</v>
      </c>
      <c r="J23" s="3" t="n">
        <v>1.0085</v>
      </c>
      <c r="K23" s="4" t="inlineStr">
        <is>
          <t>2026-10-01</t>
        </is>
      </c>
      <c r="L23" s="2" t="n">
        <v>120</v>
      </c>
      <c r="M23" s="2" t="n">
        <v>30</v>
      </c>
      <c r="N23" s="3" t="n">
        <v>0.08</v>
      </c>
      <c r="O23" t="inlineStr">
        <is>
          <t>Tier-3</t>
        </is>
      </c>
      <c r="P23">
        <f>E23-D23</f>
        <v/>
      </c>
      <c r="Q23" s="3">
        <f>IF(D23=0,0,E23/D23-1)</f>
        <v/>
      </c>
      <c r="R23" s="2">
        <f>E23*F23</f>
        <v/>
      </c>
      <c r="S23" s="2">
        <f>H23*(F23*1.5/8)</f>
        <v/>
      </c>
      <c r="T23" s="2">
        <f>R23+S23+L23+M23</f>
        <v/>
      </c>
      <c r="U23">
        <f>IF(G23=0,0,E23/G23)</f>
        <v/>
      </c>
      <c r="V23">
        <f>IF(I23&gt;=95,"A",IF(I23&gt;=85,"B",IF(I23&gt;=75,"C","D")))</f>
        <v/>
      </c>
      <c r="W23">
        <f>ROUND((J23*35)+(I23*0.25)+(U23*0.2)+(IF(Q23&gt;0,100,MAX(0,100+Q23*100))*0.2),2)</f>
        <v/>
      </c>
      <c r="X23" s="2">
        <f>ROUND(T23*N23*IF(V23="A",1.25,IF(V23="B",1.1,IF(V23="C",0.9,0.5))),2)</f>
        <v/>
      </c>
      <c r="Y23">
        <f>IF(OR(I23&lt;80,J23&lt;0.75,E23&lt;D23*0.85),"HIGH",IF(OR(I23&lt;90,J23&lt;0.9),"MEDIUM","LOW"))</f>
        <v/>
      </c>
      <c r="Z23" s="2">
        <f>ROUND(E23*INDEX(Rules!$B$2:$B$6,MATCH(O23,Rules!$A$2:$A$6,0))*INDEX(Rules!$C$2:$C$5,MATCH(V23,Rules!$D$2:$D$5,0)),2)</f>
        <v/>
      </c>
      <c r="AA23" s="2">
        <f>Z23-T23-X23</f>
        <v/>
      </c>
      <c r="AB23" s="3">
        <f>IF(Z23=0,0,AA23/Z23)</f>
        <v/>
      </c>
      <c r="AC23">
        <f>UPPER(LEFT(A23,3)&amp;"-"&amp;LEFT(B23,3)&amp;"-"&amp;TEXT(ROW()-1,"000"))</f>
        <v/>
      </c>
      <c r="AD23">
        <f>INDEX(Rules!$E$2:$E$6,MATCH(O23,Rules!$A$2:$A$6,0))</f>
        <v/>
      </c>
      <c r="AE23" s="2">
        <f>ROUND(AA23*AD23,2)</f>
        <v/>
      </c>
      <c r="AF23">
        <f>RANK(W23,$W$2:$W$181,0)</f>
        <v/>
      </c>
      <c r="AG23">
        <f>IF(AND(AB23&gt;0.18,Y23="LOW"),"PASS",IF(AB23&gt;0.08,"WATCH","FAIL"))</f>
        <v/>
      </c>
      <c r="AH23">
        <f>IFERROR(IF(VLOOKUP(A23,Rules!$G$2:$H$13,2,FALSE)="Priority","Priority Region","Standard Region"),"Standard Region")</f>
        <v/>
      </c>
      <c r="AI23">
        <f>ROUND(SUMPRODUCT(E23:J23,{0.08,0.08,0.15,0.1,0.25,0.34}),2)</f>
        <v/>
      </c>
      <c r="AJ23" s="2">
        <f>ROUND(AE23*INDEX(Rules!$J$2:$J$5,MATCH(MONTH(K23),Rules!$I$2:$I$5,1)),2)</f>
        <v/>
      </c>
    </row>
    <row r="24">
      <c r="A24" t="inlineStr">
        <is>
          <t>Syrdarya</t>
        </is>
      </c>
      <c r="B24" t="inlineStr">
        <is>
          <t>Urban-4</t>
        </is>
      </c>
      <c r="C24" t="inlineStr">
        <is>
          <t>Kamola Rahimova</t>
        </is>
      </c>
      <c r="D24" t="n">
        <v>241</v>
      </c>
      <c r="E24" t="n">
        <v>250</v>
      </c>
      <c r="F24" s="2" t="n">
        <v>196</v>
      </c>
      <c r="G24" t="n">
        <v>23</v>
      </c>
      <c r="H24" t="n">
        <v>3</v>
      </c>
      <c r="I24" t="n">
        <v>84</v>
      </c>
      <c r="J24" s="3" t="n">
        <v>1.0373</v>
      </c>
      <c r="K24" s="4" t="inlineStr">
        <is>
          <t>2026-11-01</t>
        </is>
      </c>
      <c r="L24" s="2" t="n">
        <v>128</v>
      </c>
      <c r="M24" s="2" t="n">
        <v>35</v>
      </c>
      <c r="N24" s="3" t="n">
        <v>0.0925</v>
      </c>
      <c r="O24" t="inlineStr">
        <is>
          <t>Tier-4</t>
        </is>
      </c>
      <c r="P24">
        <f>E24-D24</f>
        <v/>
      </c>
      <c r="Q24" s="3">
        <f>IF(D24=0,0,E24/D24-1)</f>
        <v/>
      </c>
      <c r="R24" s="2">
        <f>E24*F24</f>
        <v/>
      </c>
      <c r="S24" s="2">
        <f>H24*(F24*1.5/8)</f>
        <v/>
      </c>
      <c r="T24" s="2">
        <f>R24+S24+L24+M24</f>
        <v/>
      </c>
      <c r="U24">
        <f>IF(G24=0,0,E24/G24)</f>
        <v/>
      </c>
      <c r="V24">
        <f>IF(I24&gt;=95,"A",IF(I24&gt;=85,"B",IF(I24&gt;=75,"C","D")))</f>
        <v/>
      </c>
      <c r="W24">
        <f>ROUND((J24*35)+(I24*0.25)+(U24*0.2)+(IF(Q24&gt;0,100,MAX(0,100+Q24*100))*0.2),2)</f>
        <v/>
      </c>
      <c r="X24" s="2">
        <f>ROUND(T24*N24*IF(V24="A",1.25,IF(V24="B",1.1,IF(V24="C",0.9,0.5))),2)</f>
        <v/>
      </c>
      <c r="Y24">
        <f>IF(OR(I24&lt;80,J24&lt;0.75,E24&lt;D24*0.85),"HIGH",IF(OR(I24&lt;90,J24&lt;0.9),"MEDIUM","LOW"))</f>
        <v/>
      </c>
      <c r="Z24" s="2">
        <f>ROUND(E24*INDEX(Rules!$B$2:$B$6,MATCH(O24,Rules!$A$2:$A$6,0))*INDEX(Rules!$C$2:$C$5,MATCH(V24,Rules!$D$2:$D$5,0)),2)</f>
        <v/>
      </c>
      <c r="AA24" s="2">
        <f>Z24-T24-X24</f>
        <v/>
      </c>
      <c r="AB24" s="3">
        <f>IF(Z24=0,0,AA24/Z24)</f>
        <v/>
      </c>
      <c r="AC24">
        <f>UPPER(LEFT(A24,3)&amp;"-"&amp;LEFT(B24,3)&amp;"-"&amp;TEXT(ROW()-1,"000"))</f>
        <v/>
      </c>
      <c r="AD24">
        <f>INDEX(Rules!$E$2:$E$6,MATCH(O24,Rules!$A$2:$A$6,0))</f>
        <v/>
      </c>
      <c r="AE24" s="2">
        <f>ROUND(AA24*AD24,2)</f>
        <v/>
      </c>
      <c r="AF24">
        <f>RANK(W24,$W$2:$W$181,0)</f>
        <v/>
      </c>
      <c r="AG24">
        <f>IF(AND(AB24&gt;0.18,Y24="LOW"),"PASS",IF(AB24&gt;0.08,"WATCH","FAIL"))</f>
        <v/>
      </c>
      <c r="AH24">
        <f>IFERROR(IF(VLOOKUP(A24,Rules!$G$2:$H$13,2,FALSE)="Priority","Priority Region","Standard Region"),"Standard Region")</f>
        <v/>
      </c>
      <c r="AI24">
        <f>ROUND(SUMPRODUCT(E24:J24,{0.08,0.08,0.15,0.1,0.25,0.34}),2)</f>
        <v/>
      </c>
      <c r="AJ24" s="2">
        <f>ROUND(AE24*INDEX(Rules!$J$2:$J$5,MATCH(MONTH(K24),Rules!$I$2:$I$5,1)),2)</f>
        <v/>
      </c>
    </row>
    <row r="25">
      <c r="A25" t="inlineStr">
        <is>
          <t>Tashkent</t>
        </is>
      </c>
      <c r="B25" t="inlineStr">
        <is>
          <t>Central-1</t>
        </is>
      </c>
      <c r="C25" t="inlineStr">
        <is>
          <t>Aziza Karimova</t>
        </is>
      </c>
      <c r="D25" t="n">
        <v>248</v>
      </c>
      <c r="E25" t="n">
        <v>264</v>
      </c>
      <c r="F25" s="2" t="n">
        <v>205</v>
      </c>
      <c r="G25" t="n">
        <v>24</v>
      </c>
      <c r="H25" t="n">
        <v>6</v>
      </c>
      <c r="I25" t="n">
        <v>89</v>
      </c>
      <c r="J25" s="3" t="n">
        <v>1.0645</v>
      </c>
      <c r="K25" s="4" t="inlineStr">
        <is>
          <t>2026-12-01</t>
        </is>
      </c>
      <c r="L25" s="2" t="n">
        <v>40</v>
      </c>
      <c r="M25" s="2" t="n">
        <v>40</v>
      </c>
      <c r="N25" s="3" t="n">
        <v>0.03</v>
      </c>
      <c r="O25" t="inlineStr">
        <is>
          <t>Tier-5</t>
        </is>
      </c>
      <c r="P25">
        <f>E25-D25</f>
        <v/>
      </c>
      <c r="Q25" s="3">
        <f>IF(D25=0,0,E25/D25-1)</f>
        <v/>
      </c>
      <c r="R25" s="2">
        <f>E25*F25</f>
        <v/>
      </c>
      <c r="S25" s="2">
        <f>H25*(F25*1.5/8)</f>
        <v/>
      </c>
      <c r="T25" s="2">
        <f>R25+S25+L25+M25</f>
        <v/>
      </c>
      <c r="U25">
        <f>IF(G25=0,0,E25/G25)</f>
        <v/>
      </c>
      <c r="V25">
        <f>IF(I25&gt;=95,"A",IF(I25&gt;=85,"B",IF(I25&gt;=75,"C","D")))</f>
        <v/>
      </c>
      <c r="W25">
        <f>ROUND((J25*35)+(I25*0.25)+(U25*0.2)+(IF(Q25&gt;0,100,MAX(0,100+Q25*100))*0.2),2)</f>
        <v/>
      </c>
      <c r="X25" s="2">
        <f>ROUND(T25*N25*IF(V25="A",1.25,IF(V25="B",1.1,IF(V25="C",0.9,0.5))),2)</f>
        <v/>
      </c>
      <c r="Y25">
        <f>IF(OR(I25&lt;80,J25&lt;0.75,E25&lt;D25*0.85),"HIGH",IF(OR(I25&lt;90,J25&lt;0.9),"MEDIUM","LOW"))</f>
        <v/>
      </c>
      <c r="Z25" s="2">
        <f>ROUND(E25*INDEX(Rules!$B$2:$B$6,MATCH(O25,Rules!$A$2:$A$6,0))*INDEX(Rules!$C$2:$C$5,MATCH(V25,Rules!$D$2:$D$5,0)),2)</f>
        <v/>
      </c>
      <c r="AA25" s="2">
        <f>Z25-T25-X25</f>
        <v/>
      </c>
      <c r="AB25" s="3">
        <f>IF(Z25=0,0,AA25/Z25)</f>
        <v/>
      </c>
      <c r="AC25">
        <f>UPPER(LEFT(A25,3)&amp;"-"&amp;LEFT(B25,3)&amp;"-"&amp;TEXT(ROW()-1,"000"))</f>
        <v/>
      </c>
      <c r="AD25">
        <f>INDEX(Rules!$E$2:$E$6,MATCH(O25,Rules!$A$2:$A$6,0))</f>
        <v/>
      </c>
      <c r="AE25" s="2">
        <f>ROUND(AA25*AD25,2)</f>
        <v/>
      </c>
      <c r="AF25">
        <f>RANK(W25,$W$2:$W$181,0)</f>
        <v/>
      </c>
      <c r="AG25">
        <f>IF(AND(AB25&gt;0.18,Y25="LOW"),"PASS",IF(AB25&gt;0.08,"WATCH","FAIL"))</f>
        <v/>
      </c>
      <c r="AH25">
        <f>IFERROR(IF(VLOOKUP(A25,Rules!$G$2:$H$13,2,FALSE)="Priority","Priority Region","Standard Region"),"Standard Region")</f>
        <v/>
      </c>
      <c r="AI25">
        <f>ROUND(SUMPRODUCT(E25:J25,{0.08,0.08,0.15,0.1,0.25,0.34}),2)</f>
        <v/>
      </c>
      <c r="AJ25" s="2">
        <f>ROUND(AE25*INDEX(Rules!$J$2:$J$5,MATCH(MONTH(K25),Rules!$I$2:$I$5,1)),2)</f>
        <v/>
      </c>
    </row>
    <row r="26">
      <c r="A26" t="inlineStr">
        <is>
          <t>Samarkand</t>
        </is>
      </c>
      <c r="B26" t="inlineStr">
        <is>
          <t>North-2</t>
        </is>
      </c>
      <c r="C26" t="inlineStr">
        <is>
          <t>Bekzod Aliyev</t>
        </is>
      </c>
      <c r="D26" t="n">
        <v>85</v>
      </c>
      <c r="E26" t="n">
        <v>103</v>
      </c>
      <c r="F26" s="2" t="n">
        <v>214</v>
      </c>
      <c r="G26" t="n">
        <v>25</v>
      </c>
      <c r="H26" t="n">
        <v>9</v>
      </c>
      <c r="I26" t="n">
        <v>94</v>
      </c>
      <c r="J26" s="3" t="n">
        <v>1.2118</v>
      </c>
      <c r="K26" s="4" t="inlineStr">
        <is>
          <t>2026-01-01</t>
        </is>
      </c>
      <c r="L26" s="2" t="n">
        <v>48</v>
      </c>
      <c r="M26" s="2" t="n">
        <v>45</v>
      </c>
      <c r="N26" s="3" t="n">
        <v>0.0425</v>
      </c>
      <c r="O26" t="inlineStr">
        <is>
          <t>Tier-1</t>
        </is>
      </c>
      <c r="P26">
        <f>E26-D26</f>
        <v/>
      </c>
      <c r="Q26" s="3">
        <f>IF(D26=0,0,E26/D26-1)</f>
        <v/>
      </c>
      <c r="R26" s="2">
        <f>E26*F26</f>
        <v/>
      </c>
      <c r="S26" s="2">
        <f>H26*(F26*1.5/8)</f>
        <v/>
      </c>
      <c r="T26" s="2">
        <f>R26+S26+L26+M26</f>
        <v/>
      </c>
      <c r="U26">
        <f>IF(G26=0,0,E26/G26)</f>
        <v/>
      </c>
      <c r="V26">
        <f>IF(I26&gt;=95,"A",IF(I26&gt;=85,"B",IF(I26&gt;=75,"C","D")))</f>
        <v/>
      </c>
      <c r="W26">
        <f>ROUND((J26*35)+(I26*0.25)+(U26*0.2)+(IF(Q26&gt;0,100,MAX(0,100+Q26*100))*0.2),2)</f>
        <v/>
      </c>
      <c r="X26" s="2">
        <f>ROUND(T26*N26*IF(V26="A",1.25,IF(V26="B",1.1,IF(V26="C",0.9,0.5))),2)</f>
        <v/>
      </c>
      <c r="Y26">
        <f>IF(OR(I26&lt;80,J26&lt;0.75,E26&lt;D26*0.85),"HIGH",IF(OR(I26&lt;90,J26&lt;0.9),"MEDIUM","LOW"))</f>
        <v/>
      </c>
      <c r="Z26" s="2">
        <f>ROUND(E26*INDEX(Rules!$B$2:$B$6,MATCH(O26,Rules!$A$2:$A$6,0))*INDEX(Rules!$C$2:$C$5,MATCH(V26,Rules!$D$2:$D$5,0)),2)</f>
        <v/>
      </c>
      <c r="AA26" s="2">
        <f>Z26-T26-X26</f>
        <v/>
      </c>
      <c r="AB26" s="3">
        <f>IF(Z26=0,0,AA26/Z26)</f>
        <v/>
      </c>
      <c r="AC26">
        <f>UPPER(LEFT(A26,3)&amp;"-"&amp;LEFT(B26,3)&amp;"-"&amp;TEXT(ROW()-1,"000"))</f>
        <v/>
      </c>
      <c r="AD26">
        <f>INDEX(Rules!$E$2:$E$6,MATCH(O26,Rules!$A$2:$A$6,0))</f>
        <v/>
      </c>
      <c r="AE26" s="2">
        <f>ROUND(AA26*AD26,2)</f>
        <v/>
      </c>
      <c r="AF26">
        <f>RANK(W26,$W$2:$W$181,0)</f>
        <v/>
      </c>
      <c r="AG26">
        <f>IF(AND(AB26&gt;0.18,Y26="LOW"),"PASS",IF(AB26&gt;0.08,"WATCH","FAIL"))</f>
        <v/>
      </c>
      <c r="AH26">
        <f>IFERROR(IF(VLOOKUP(A26,Rules!$G$2:$H$13,2,FALSE)="Priority","Priority Region","Standard Region"),"Standard Region")</f>
        <v/>
      </c>
      <c r="AI26">
        <f>ROUND(SUMPRODUCT(E26:J26,{0.08,0.08,0.15,0.1,0.25,0.34}),2)</f>
        <v/>
      </c>
      <c r="AJ26" s="2">
        <f>ROUND(AE26*INDEX(Rules!$J$2:$J$5,MATCH(MONTH(K26),Rules!$I$2:$I$5,1)),2)</f>
        <v/>
      </c>
    </row>
    <row r="27">
      <c r="A27" t="inlineStr">
        <is>
          <t>Bukhara</t>
        </is>
      </c>
      <c r="B27" t="inlineStr">
        <is>
          <t>South-3</t>
        </is>
      </c>
      <c r="C27" t="inlineStr">
        <is>
          <t>Dilshod Rustamov</t>
        </is>
      </c>
      <c r="D27" t="n">
        <v>92</v>
      </c>
      <c r="E27" t="n">
        <v>117</v>
      </c>
      <c r="F27" s="2" t="n">
        <v>223</v>
      </c>
      <c r="G27" t="n">
        <v>26</v>
      </c>
      <c r="H27" t="n">
        <v>12</v>
      </c>
      <c r="I27" t="n">
        <v>99</v>
      </c>
      <c r="J27" s="3" t="n">
        <v>1.2717</v>
      </c>
      <c r="K27" s="4" t="inlineStr">
        <is>
          <t>2026-02-01</t>
        </is>
      </c>
      <c r="L27" s="2" t="n">
        <v>56</v>
      </c>
      <c r="M27" s="2" t="n">
        <v>50</v>
      </c>
      <c r="N27" s="3" t="n">
        <v>0.055</v>
      </c>
      <c r="O27" t="inlineStr">
        <is>
          <t>Tier-2</t>
        </is>
      </c>
      <c r="P27">
        <f>E27-D27</f>
        <v/>
      </c>
      <c r="Q27" s="3">
        <f>IF(D27=0,0,E27/D27-1)</f>
        <v/>
      </c>
      <c r="R27" s="2">
        <f>E27*F27</f>
        <v/>
      </c>
      <c r="S27" s="2">
        <f>H27*(F27*1.5/8)</f>
        <v/>
      </c>
      <c r="T27" s="2">
        <f>R27+S27+L27+M27</f>
        <v/>
      </c>
      <c r="U27">
        <f>IF(G27=0,0,E27/G27)</f>
        <v/>
      </c>
      <c r="V27">
        <f>IF(I27&gt;=95,"A",IF(I27&gt;=85,"B",IF(I27&gt;=75,"C","D")))</f>
        <v/>
      </c>
      <c r="W27">
        <f>ROUND((J27*35)+(I27*0.25)+(U27*0.2)+(IF(Q27&gt;0,100,MAX(0,100+Q27*100))*0.2),2)</f>
        <v/>
      </c>
      <c r="X27" s="2">
        <f>ROUND(T27*N27*IF(V27="A",1.25,IF(V27="B",1.1,IF(V27="C",0.9,0.5))),2)</f>
        <v/>
      </c>
      <c r="Y27">
        <f>IF(OR(I27&lt;80,J27&lt;0.75,E27&lt;D27*0.85),"HIGH",IF(OR(I27&lt;90,J27&lt;0.9),"MEDIUM","LOW"))</f>
        <v/>
      </c>
      <c r="Z27" s="2">
        <f>ROUND(E27*INDEX(Rules!$B$2:$B$6,MATCH(O27,Rules!$A$2:$A$6,0))*INDEX(Rules!$C$2:$C$5,MATCH(V27,Rules!$D$2:$D$5,0)),2)</f>
        <v/>
      </c>
      <c r="AA27" s="2">
        <f>Z27-T27-X27</f>
        <v/>
      </c>
      <c r="AB27" s="3">
        <f>IF(Z27=0,0,AA27/Z27)</f>
        <v/>
      </c>
      <c r="AC27">
        <f>UPPER(LEFT(A27,3)&amp;"-"&amp;LEFT(B27,3)&amp;"-"&amp;TEXT(ROW()-1,"000"))</f>
        <v/>
      </c>
      <c r="AD27">
        <f>INDEX(Rules!$E$2:$E$6,MATCH(O27,Rules!$A$2:$A$6,0))</f>
        <v/>
      </c>
      <c r="AE27" s="2">
        <f>ROUND(AA27*AD27,2)</f>
        <v/>
      </c>
      <c r="AF27">
        <f>RANK(W27,$W$2:$W$181,0)</f>
        <v/>
      </c>
      <c r="AG27">
        <f>IF(AND(AB27&gt;0.18,Y27="LOW"),"PASS",IF(AB27&gt;0.08,"WATCH","FAIL"))</f>
        <v/>
      </c>
      <c r="AH27">
        <f>IFERROR(IF(VLOOKUP(A27,Rules!$G$2:$H$13,2,FALSE)="Priority","Priority Region","Standard Region"),"Standard Region")</f>
        <v/>
      </c>
      <c r="AI27">
        <f>ROUND(SUMPRODUCT(E27:J27,{0.08,0.08,0.15,0.1,0.25,0.34}),2)</f>
        <v/>
      </c>
      <c r="AJ27" s="2">
        <f>ROUND(AE27*INDEX(Rules!$J$2:$J$5,MATCH(MONTH(K27),Rules!$I$2:$I$5,1)),2)</f>
        <v/>
      </c>
    </row>
    <row r="28">
      <c r="A28" t="inlineStr">
        <is>
          <t>Andijan</t>
        </is>
      </c>
      <c r="B28" t="inlineStr">
        <is>
          <t>East-4</t>
        </is>
      </c>
      <c r="C28" t="inlineStr">
        <is>
          <t>Malika Ergasheva</t>
        </is>
      </c>
      <c r="D28" t="n">
        <v>99</v>
      </c>
      <c r="E28" t="n">
        <v>77</v>
      </c>
      <c r="F28" s="2" t="n">
        <v>232</v>
      </c>
      <c r="G28" t="n">
        <v>18</v>
      </c>
      <c r="H28" t="n">
        <v>15</v>
      </c>
      <c r="I28" t="n">
        <v>71</v>
      </c>
      <c r="J28" s="3" t="n">
        <v>0.7778</v>
      </c>
      <c r="K28" s="4" t="inlineStr">
        <is>
          <t>2026-03-01</t>
        </is>
      </c>
      <c r="L28" s="2" t="n">
        <v>64</v>
      </c>
      <c r="M28" s="2" t="n">
        <v>55</v>
      </c>
      <c r="N28" s="3" t="n">
        <v>0.0675</v>
      </c>
      <c r="O28" t="inlineStr">
        <is>
          <t>Tier-3</t>
        </is>
      </c>
      <c r="P28">
        <f>E28-D28</f>
        <v/>
      </c>
      <c r="Q28" s="3">
        <f>IF(D28=0,0,E28/D28-1)</f>
        <v/>
      </c>
      <c r="R28" s="2">
        <f>E28*F28</f>
        <v/>
      </c>
      <c r="S28" s="2">
        <f>H28*(F28*1.5/8)</f>
        <v/>
      </c>
      <c r="T28" s="2">
        <f>R28+S28+L28+M28</f>
        <v/>
      </c>
      <c r="U28">
        <f>IF(G28=0,0,E28/G28)</f>
        <v/>
      </c>
      <c r="V28">
        <f>IF(I28&gt;=95,"A",IF(I28&gt;=85,"B",IF(I28&gt;=75,"C","D")))</f>
        <v/>
      </c>
      <c r="W28">
        <f>ROUND((J28*35)+(I28*0.25)+(U28*0.2)+(IF(Q28&gt;0,100,MAX(0,100+Q28*100))*0.2),2)</f>
        <v/>
      </c>
      <c r="X28" s="2">
        <f>ROUND(T28*N28*IF(V28="A",1.25,IF(V28="B",1.1,IF(V28="C",0.9,0.5))),2)</f>
        <v/>
      </c>
      <c r="Y28">
        <f>IF(OR(I28&lt;80,J28&lt;0.75,E28&lt;D28*0.85),"HIGH",IF(OR(I28&lt;90,J28&lt;0.9),"MEDIUM","LOW"))</f>
        <v/>
      </c>
      <c r="Z28" s="2">
        <f>ROUND(E28*INDEX(Rules!$B$2:$B$6,MATCH(O28,Rules!$A$2:$A$6,0))*INDEX(Rules!$C$2:$C$5,MATCH(V28,Rules!$D$2:$D$5,0)),2)</f>
        <v/>
      </c>
      <c r="AA28" s="2">
        <f>Z28-T28-X28</f>
        <v/>
      </c>
      <c r="AB28" s="3">
        <f>IF(Z28=0,0,AA28/Z28)</f>
        <v/>
      </c>
      <c r="AC28">
        <f>UPPER(LEFT(A28,3)&amp;"-"&amp;LEFT(B28,3)&amp;"-"&amp;TEXT(ROW()-1,"000"))</f>
        <v/>
      </c>
      <c r="AD28">
        <f>INDEX(Rules!$E$2:$E$6,MATCH(O28,Rules!$A$2:$A$6,0))</f>
        <v/>
      </c>
      <c r="AE28" s="2">
        <f>ROUND(AA28*AD28,2)</f>
        <v/>
      </c>
      <c r="AF28">
        <f>RANK(W28,$W$2:$W$181,0)</f>
        <v/>
      </c>
      <c r="AG28">
        <f>IF(AND(AB28&gt;0.18,Y28="LOW"),"PASS",IF(AB28&gt;0.08,"WATCH","FAIL"))</f>
        <v/>
      </c>
      <c r="AH28">
        <f>IFERROR(IF(VLOOKUP(A28,Rules!$G$2:$H$13,2,FALSE)="Priority","Priority Region","Standard Region"),"Standard Region")</f>
        <v/>
      </c>
      <c r="AI28">
        <f>ROUND(SUMPRODUCT(E28:J28,{0.08,0.08,0.15,0.1,0.25,0.34}),2)</f>
        <v/>
      </c>
      <c r="AJ28" s="2">
        <f>ROUND(AE28*INDEX(Rules!$J$2:$J$5,MATCH(MONTH(K28),Rules!$I$2:$I$5,1)),2)</f>
        <v/>
      </c>
    </row>
    <row r="29">
      <c r="A29" t="inlineStr">
        <is>
          <t>Namangan</t>
        </is>
      </c>
      <c r="B29" t="inlineStr">
        <is>
          <t>West-1</t>
        </is>
      </c>
      <c r="C29" t="inlineStr">
        <is>
          <t>Shahzod Islomov</t>
        </is>
      </c>
      <c r="D29" t="n">
        <v>106</v>
      </c>
      <c r="E29" t="n">
        <v>91</v>
      </c>
      <c r="F29" s="2" t="n">
        <v>115</v>
      </c>
      <c r="G29" t="n">
        <v>19</v>
      </c>
      <c r="H29" t="n">
        <v>18</v>
      </c>
      <c r="I29" t="n">
        <v>76</v>
      </c>
      <c r="J29" s="3" t="n">
        <v>0.8585</v>
      </c>
      <c r="K29" s="4" t="inlineStr">
        <is>
          <t>2026-04-01</t>
        </is>
      </c>
      <c r="L29" s="2" t="n">
        <v>72</v>
      </c>
      <c r="M29" s="2" t="n">
        <v>60</v>
      </c>
      <c r="N29" s="3" t="n">
        <v>0.08</v>
      </c>
      <c r="O29" t="inlineStr">
        <is>
          <t>Tier-4</t>
        </is>
      </c>
      <c r="P29">
        <f>E29-D29</f>
        <v/>
      </c>
      <c r="Q29" s="3">
        <f>IF(D29=0,0,E29/D29-1)</f>
        <v/>
      </c>
      <c r="R29" s="2">
        <f>E29*F29</f>
        <v/>
      </c>
      <c r="S29" s="2">
        <f>H29*(F29*1.5/8)</f>
        <v/>
      </c>
      <c r="T29" s="2">
        <f>R29+S29+L29+M29</f>
        <v/>
      </c>
      <c r="U29">
        <f>IF(G29=0,0,E29/G29)</f>
        <v/>
      </c>
      <c r="V29">
        <f>IF(I29&gt;=95,"A",IF(I29&gt;=85,"B",IF(I29&gt;=75,"C","D")))</f>
        <v/>
      </c>
      <c r="W29">
        <f>ROUND((J29*35)+(I29*0.25)+(U29*0.2)+(IF(Q29&gt;0,100,MAX(0,100+Q29*100))*0.2),2)</f>
        <v/>
      </c>
      <c r="X29" s="2">
        <f>ROUND(T29*N29*IF(V29="A",1.25,IF(V29="B",1.1,IF(V29="C",0.9,0.5))),2)</f>
        <v/>
      </c>
      <c r="Y29">
        <f>IF(OR(I29&lt;80,J29&lt;0.75,E29&lt;D29*0.85),"HIGH",IF(OR(I29&lt;90,J29&lt;0.9),"MEDIUM","LOW"))</f>
        <v/>
      </c>
      <c r="Z29" s="2">
        <f>ROUND(E29*INDEX(Rules!$B$2:$B$6,MATCH(O29,Rules!$A$2:$A$6,0))*INDEX(Rules!$C$2:$C$5,MATCH(V29,Rules!$D$2:$D$5,0)),2)</f>
        <v/>
      </c>
      <c r="AA29" s="2">
        <f>Z29-T29-X29</f>
        <v/>
      </c>
      <c r="AB29" s="3">
        <f>IF(Z29=0,0,AA29/Z29)</f>
        <v/>
      </c>
      <c r="AC29">
        <f>UPPER(LEFT(A29,3)&amp;"-"&amp;LEFT(B29,3)&amp;"-"&amp;TEXT(ROW()-1,"000"))</f>
        <v/>
      </c>
      <c r="AD29">
        <f>INDEX(Rules!$E$2:$E$6,MATCH(O29,Rules!$A$2:$A$6,0))</f>
        <v/>
      </c>
      <c r="AE29" s="2">
        <f>ROUND(AA29*AD29,2)</f>
        <v/>
      </c>
      <c r="AF29">
        <f>RANK(W29,$W$2:$W$181,0)</f>
        <v/>
      </c>
      <c r="AG29">
        <f>IF(AND(AB29&gt;0.18,Y29="LOW"),"PASS",IF(AB29&gt;0.08,"WATCH","FAIL"))</f>
        <v/>
      </c>
      <c r="AH29">
        <f>IFERROR(IF(VLOOKUP(A29,Rules!$G$2:$H$13,2,FALSE)="Priority","Priority Region","Standard Region"),"Standard Region")</f>
        <v/>
      </c>
      <c r="AI29">
        <f>ROUND(SUMPRODUCT(E29:J29,{0.08,0.08,0.15,0.1,0.25,0.34}),2)</f>
        <v/>
      </c>
      <c r="AJ29" s="2">
        <f>ROUND(AE29*INDEX(Rules!$J$2:$J$5,MATCH(MONTH(K29),Rules!$I$2:$I$5,1)),2)</f>
        <v/>
      </c>
    </row>
    <row r="30">
      <c r="A30" t="inlineStr">
        <is>
          <t>Fergana</t>
        </is>
      </c>
      <c r="B30" t="inlineStr">
        <is>
          <t>Industrial-2</t>
        </is>
      </c>
      <c r="C30" t="inlineStr">
        <is>
          <t>Nilufar Tursunova</t>
        </is>
      </c>
      <c r="D30" t="n">
        <v>113</v>
      </c>
      <c r="E30" t="n">
        <v>105</v>
      </c>
      <c r="F30" s="2" t="n">
        <v>124</v>
      </c>
      <c r="G30" t="n">
        <v>20</v>
      </c>
      <c r="H30" t="n">
        <v>21</v>
      </c>
      <c r="I30" t="n">
        <v>81</v>
      </c>
      <c r="J30" s="3" t="n">
        <v>0.9292</v>
      </c>
      <c r="K30" s="4" t="inlineStr">
        <is>
          <t>2026-05-01</t>
        </is>
      </c>
      <c r="L30" s="2" t="n">
        <v>80</v>
      </c>
      <c r="M30" s="2" t="n">
        <v>65</v>
      </c>
      <c r="N30" s="3" t="n">
        <v>0.0925</v>
      </c>
      <c r="O30" t="inlineStr">
        <is>
          <t>Tier-5</t>
        </is>
      </c>
      <c r="P30">
        <f>E30-D30</f>
        <v/>
      </c>
      <c r="Q30" s="3">
        <f>IF(D30=0,0,E30/D30-1)</f>
        <v/>
      </c>
      <c r="R30" s="2">
        <f>E30*F30</f>
        <v/>
      </c>
      <c r="S30" s="2">
        <f>H30*(F30*1.5/8)</f>
        <v/>
      </c>
      <c r="T30" s="2">
        <f>R30+S30+L30+M30</f>
        <v/>
      </c>
      <c r="U30">
        <f>IF(G30=0,0,E30/G30)</f>
        <v/>
      </c>
      <c r="V30">
        <f>IF(I30&gt;=95,"A",IF(I30&gt;=85,"B",IF(I30&gt;=75,"C","D")))</f>
        <v/>
      </c>
      <c r="W30">
        <f>ROUND((J30*35)+(I30*0.25)+(U30*0.2)+(IF(Q30&gt;0,100,MAX(0,100+Q30*100))*0.2),2)</f>
        <v/>
      </c>
      <c r="X30" s="2">
        <f>ROUND(T30*N30*IF(V30="A",1.25,IF(V30="B",1.1,IF(V30="C",0.9,0.5))),2)</f>
        <v/>
      </c>
      <c r="Y30">
        <f>IF(OR(I30&lt;80,J30&lt;0.75,E30&lt;D30*0.85),"HIGH",IF(OR(I30&lt;90,J30&lt;0.9),"MEDIUM","LOW"))</f>
        <v/>
      </c>
      <c r="Z30" s="2">
        <f>ROUND(E30*INDEX(Rules!$B$2:$B$6,MATCH(O30,Rules!$A$2:$A$6,0))*INDEX(Rules!$C$2:$C$5,MATCH(V30,Rules!$D$2:$D$5,0)),2)</f>
        <v/>
      </c>
      <c r="AA30" s="2">
        <f>Z30-T30-X30</f>
        <v/>
      </c>
      <c r="AB30" s="3">
        <f>IF(Z30=0,0,AA30/Z30)</f>
        <v/>
      </c>
      <c r="AC30">
        <f>UPPER(LEFT(A30,3)&amp;"-"&amp;LEFT(B30,3)&amp;"-"&amp;TEXT(ROW()-1,"000"))</f>
        <v/>
      </c>
      <c r="AD30">
        <f>INDEX(Rules!$E$2:$E$6,MATCH(O30,Rules!$A$2:$A$6,0))</f>
        <v/>
      </c>
      <c r="AE30" s="2">
        <f>ROUND(AA30*AD30,2)</f>
        <v/>
      </c>
      <c r="AF30">
        <f>RANK(W30,$W$2:$W$181,0)</f>
        <v/>
      </c>
      <c r="AG30">
        <f>IF(AND(AB30&gt;0.18,Y30="LOW"),"PASS",IF(AB30&gt;0.08,"WATCH","FAIL"))</f>
        <v/>
      </c>
      <c r="AH30">
        <f>IFERROR(IF(VLOOKUP(A30,Rules!$G$2:$H$13,2,FALSE)="Priority","Priority Region","Standard Region"),"Standard Region")</f>
        <v/>
      </c>
      <c r="AI30">
        <f>ROUND(SUMPRODUCT(E30:J30,{0.08,0.08,0.15,0.1,0.25,0.34}),2)</f>
        <v/>
      </c>
      <c r="AJ30" s="2">
        <f>ROUND(AE30*INDEX(Rules!$J$2:$J$5,MATCH(MONTH(K30),Rules!$I$2:$I$5,1)),2)</f>
        <v/>
      </c>
    </row>
    <row r="31">
      <c r="A31" t="inlineStr">
        <is>
          <t>Kashkadarya</t>
        </is>
      </c>
      <c r="B31" t="inlineStr">
        <is>
          <t>Rural-3</t>
        </is>
      </c>
      <c r="C31" t="inlineStr">
        <is>
          <t>Sardor Jabborov</t>
        </is>
      </c>
      <c r="D31" t="n">
        <v>120</v>
      </c>
      <c r="E31" t="n">
        <v>114</v>
      </c>
      <c r="F31" s="2" t="n">
        <v>133</v>
      </c>
      <c r="G31" t="n">
        <v>21</v>
      </c>
      <c r="H31" t="n">
        <v>2</v>
      </c>
      <c r="I31" t="n">
        <v>86</v>
      </c>
      <c r="J31" s="3" t="n">
        <v>0.95</v>
      </c>
      <c r="K31" s="4" t="inlineStr">
        <is>
          <t>2026-06-01</t>
        </is>
      </c>
      <c r="L31" s="2" t="n">
        <v>88</v>
      </c>
      <c r="M31" s="2" t="n">
        <v>20</v>
      </c>
      <c r="N31" s="3" t="n">
        <v>0.03</v>
      </c>
      <c r="O31" t="inlineStr">
        <is>
          <t>Tier-1</t>
        </is>
      </c>
      <c r="P31">
        <f>E31-D31</f>
        <v/>
      </c>
      <c r="Q31" s="3">
        <f>IF(D31=0,0,E31/D31-1)</f>
        <v/>
      </c>
      <c r="R31" s="2">
        <f>E31*F31</f>
        <v/>
      </c>
      <c r="S31" s="2">
        <f>H31*(F31*1.5/8)</f>
        <v/>
      </c>
      <c r="T31" s="2">
        <f>R31+S31+L31+M31</f>
        <v/>
      </c>
      <c r="U31">
        <f>IF(G31=0,0,E31/G31)</f>
        <v/>
      </c>
      <c r="V31">
        <f>IF(I31&gt;=95,"A",IF(I31&gt;=85,"B",IF(I31&gt;=75,"C","D")))</f>
        <v/>
      </c>
      <c r="W31">
        <f>ROUND((J31*35)+(I31*0.25)+(U31*0.2)+(IF(Q31&gt;0,100,MAX(0,100+Q31*100))*0.2),2)</f>
        <v/>
      </c>
      <c r="X31" s="2">
        <f>ROUND(T31*N31*IF(V31="A",1.25,IF(V31="B",1.1,IF(V31="C",0.9,0.5))),2)</f>
        <v/>
      </c>
      <c r="Y31">
        <f>IF(OR(I31&lt;80,J31&lt;0.75,E31&lt;D31*0.85),"HIGH",IF(OR(I31&lt;90,J31&lt;0.9),"MEDIUM","LOW"))</f>
        <v/>
      </c>
      <c r="Z31" s="2">
        <f>ROUND(E31*INDEX(Rules!$B$2:$B$6,MATCH(O31,Rules!$A$2:$A$6,0))*INDEX(Rules!$C$2:$C$5,MATCH(V31,Rules!$D$2:$D$5,0)),2)</f>
        <v/>
      </c>
      <c r="AA31" s="2">
        <f>Z31-T31-X31</f>
        <v/>
      </c>
      <c r="AB31" s="3">
        <f>IF(Z31=0,0,AA31/Z31)</f>
        <v/>
      </c>
      <c r="AC31">
        <f>UPPER(LEFT(A31,3)&amp;"-"&amp;LEFT(B31,3)&amp;"-"&amp;TEXT(ROW()-1,"000"))</f>
        <v/>
      </c>
      <c r="AD31">
        <f>INDEX(Rules!$E$2:$E$6,MATCH(O31,Rules!$A$2:$A$6,0))</f>
        <v/>
      </c>
      <c r="AE31" s="2">
        <f>ROUND(AA31*AD31,2)</f>
        <v/>
      </c>
      <c r="AF31">
        <f>RANK(W31,$W$2:$W$181,0)</f>
        <v/>
      </c>
      <c r="AG31">
        <f>IF(AND(AB31&gt;0.18,Y31="LOW"),"PASS",IF(AB31&gt;0.08,"WATCH","FAIL"))</f>
        <v/>
      </c>
      <c r="AH31">
        <f>IFERROR(IF(VLOOKUP(A31,Rules!$G$2:$H$13,2,FALSE)="Priority","Priority Region","Standard Region"),"Standard Region")</f>
        <v/>
      </c>
      <c r="AI31">
        <f>ROUND(SUMPRODUCT(E31:J31,{0.08,0.08,0.15,0.1,0.25,0.34}),2)</f>
        <v/>
      </c>
      <c r="AJ31" s="2">
        <f>ROUND(AE31*INDEX(Rules!$J$2:$J$5,MATCH(MONTH(K31),Rules!$I$2:$I$5,1)),2)</f>
        <v/>
      </c>
    </row>
    <row r="32">
      <c r="A32" t="inlineStr">
        <is>
          <t>Surkhandarya</t>
        </is>
      </c>
      <c r="B32" t="inlineStr">
        <is>
          <t>Urban-4</t>
        </is>
      </c>
      <c r="C32" t="inlineStr">
        <is>
          <t>Kamola Rahimova</t>
        </is>
      </c>
      <c r="D32" t="n">
        <v>127</v>
      </c>
      <c r="E32" t="n">
        <v>128</v>
      </c>
      <c r="F32" s="2" t="n">
        <v>142</v>
      </c>
      <c r="G32" t="n">
        <v>22</v>
      </c>
      <c r="H32" t="n">
        <v>5</v>
      </c>
      <c r="I32" t="n">
        <v>91</v>
      </c>
      <c r="J32" s="3" t="n">
        <v>1.0079</v>
      </c>
      <c r="K32" s="4" t="inlineStr">
        <is>
          <t>2026-07-01</t>
        </is>
      </c>
      <c r="L32" s="2" t="n">
        <v>96</v>
      </c>
      <c r="M32" s="2" t="n">
        <v>25</v>
      </c>
      <c r="N32" s="3" t="n">
        <v>0.0425</v>
      </c>
      <c r="O32" t="inlineStr">
        <is>
          <t>Tier-2</t>
        </is>
      </c>
      <c r="P32">
        <f>E32-D32</f>
        <v/>
      </c>
      <c r="Q32" s="3">
        <f>IF(D32=0,0,E32/D32-1)</f>
        <v/>
      </c>
      <c r="R32" s="2">
        <f>E32*F32</f>
        <v/>
      </c>
      <c r="S32" s="2">
        <f>H32*(F32*1.5/8)</f>
        <v/>
      </c>
      <c r="T32" s="2">
        <f>R32+S32+L32+M32</f>
        <v/>
      </c>
      <c r="U32">
        <f>IF(G32=0,0,E32/G32)</f>
        <v/>
      </c>
      <c r="V32">
        <f>IF(I32&gt;=95,"A",IF(I32&gt;=85,"B",IF(I32&gt;=75,"C","D")))</f>
        <v/>
      </c>
      <c r="W32">
        <f>ROUND((J32*35)+(I32*0.25)+(U32*0.2)+(IF(Q32&gt;0,100,MAX(0,100+Q32*100))*0.2),2)</f>
        <v/>
      </c>
      <c r="X32" s="2">
        <f>ROUND(T32*N32*IF(V32="A",1.25,IF(V32="B",1.1,IF(V32="C",0.9,0.5))),2)</f>
        <v/>
      </c>
      <c r="Y32">
        <f>IF(OR(I32&lt;80,J32&lt;0.75,E32&lt;D32*0.85),"HIGH",IF(OR(I32&lt;90,J32&lt;0.9),"MEDIUM","LOW"))</f>
        <v/>
      </c>
      <c r="Z32" s="2">
        <f>ROUND(E32*INDEX(Rules!$B$2:$B$6,MATCH(O32,Rules!$A$2:$A$6,0))*INDEX(Rules!$C$2:$C$5,MATCH(V32,Rules!$D$2:$D$5,0)),2)</f>
        <v/>
      </c>
      <c r="AA32" s="2">
        <f>Z32-T32-X32</f>
        <v/>
      </c>
      <c r="AB32" s="3">
        <f>IF(Z32=0,0,AA32/Z32)</f>
        <v/>
      </c>
      <c r="AC32">
        <f>UPPER(LEFT(A32,3)&amp;"-"&amp;LEFT(B32,3)&amp;"-"&amp;TEXT(ROW()-1,"000"))</f>
        <v/>
      </c>
      <c r="AD32">
        <f>INDEX(Rules!$E$2:$E$6,MATCH(O32,Rules!$A$2:$A$6,0))</f>
        <v/>
      </c>
      <c r="AE32" s="2">
        <f>ROUND(AA32*AD32,2)</f>
        <v/>
      </c>
      <c r="AF32">
        <f>RANK(W32,$W$2:$W$181,0)</f>
        <v/>
      </c>
      <c r="AG32">
        <f>IF(AND(AB32&gt;0.18,Y32="LOW"),"PASS",IF(AB32&gt;0.08,"WATCH","FAIL"))</f>
        <v/>
      </c>
      <c r="AH32">
        <f>IFERROR(IF(VLOOKUP(A32,Rules!$G$2:$H$13,2,FALSE)="Priority","Priority Region","Standard Region"),"Standard Region")</f>
        <v/>
      </c>
      <c r="AI32">
        <f>ROUND(SUMPRODUCT(E32:J32,{0.08,0.08,0.15,0.1,0.25,0.34}),2)</f>
        <v/>
      </c>
      <c r="AJ32" s="2">
        <f>ROUND(AE32*INDEX(Rules!$J$2:$J$5,MATCH(MONTH(K32),Rules!$I$2:$I$5,1)),2)</f>
        <v/>
      </c>
    </row>
    <row r="33">
      <c r="A33" t="inlineStr">
        <is>
          <t>Khorezm</t>
        </is>
      </c>
      <c r="B33" t="inlineStr">
        <is>
          <t>Central-1</t>
        </is>
      </c>
      <c r="C33" t="inlineStr">
        <is>
          <t>Aziza Karimova</t>
        </is>
      </c>
      <c r="D33" t="n">
        <v>134</v>
      </c>
      <c r="E33" t="n">
        <v>142</v>
      </c>
      <c r="F33" s="2" t="n">
        <v>151</v>
      </c>
      <c r="G33" t="n">
        <v>23</v>
      </c>
      <c r="H33" t="n">
        <v>8</v>
      </c>
      <c r="I33" t="n">
        <v>96</v>
      </c>
      <c r="J33" s="3" t="n">
        <v>1.0597</v>
      </c>
      <c r="K33" s="4" t="inlineStr">
        <is>
          <t>2026-08-01</t>
        </is>
      </c>
      <c r="L33" s="2" t="n">
        <v>104</v>
      </c>
      <c r="M33" s="2" t="n">
        <v>30</v>
      </c>
      <c r="N33" s="3" t="n">
        <v>0.055</v>
      </c>
      <c r="O33" t="inlineStr">
        <is>
          <t>Tier-3</t>
        </is>
      </c>
      <c r="P33">
        <f>E33-D33</f>
        <v/>
      </c>
      <c r="Q33" s="3">
        <f>IF(D33=0,0,E33/D33-1)</f>
        <v/>
      </c>
      <c r="R33" s="2">
        <f>E33*F33</f>
        <v/>
      </c>
      <c r="S33" s="2">
        <f>H33*(F33*1.5/8)</f>
        <v/>
      </c>
      <c r="T33" s="2">
        <f>R33+S33+L33+M33</f>
        <v/>
      </c>
      <c r="U33">
        <f>IF(G33=0,0,E33/G33)</f>
        <v/>
      </c>
      <c r="V33">
        <f>IF(I33&gt;=95,"A",IF(I33&gt;=85,"B",IF(I33&gt;=75,"C","D")))</f>
        <v/>
      </c>
      <c r="W33">
        <f>ROUND((J33*35)+(I33*0.25)+(U33*0.2)+(IF(Q33&gt;0,100,MAX(0,100+Q33*100))*0.2),2)</f>
        <v/>
      </c>
      <c r="X33" s="2">
        <f>ROUND(T33*N33*IF(V33="A",1.25,IF(V33="B",1.1,IF(V33="C",0.9,0.5))),2)</f>
        <v/>
      </c>
      <c r="Y33">
        <f>IF(OR(I33&lt;80,J33&lt;0.75,E33&lt;D33*0.85),"HIGH",IF(OR(I33&lt;90,J33&lt;0.9),"MEDIUM","LOW"))</f>
        <v/>
      </c>
      <c r="Z33" s="2">
        <f>ROUND(E33*INDEX(Rules!$B$2:$B$6,MATCH(O33,Rules!$A$2:$A$6,0))*INDEX(Rules!$C$2:$C$5,MATCH(V33,Rules!$D$2:$D$5,0)),2)</f>
        <v/>
      </c>
      <c r="AA33" s="2">
        <f>Z33-T33-X33</f>
        <v/>
      </c>
      <c r="AB33" s="3">
        <f>IF(Z33=0,0,AA33/Z33)</f>
        <v/>
      </c>
      <c r="AC33">
        <f>UPPER(LEFT(A33,3)&amp;"-"&amp;LEFT(B33,3)&amp;"-"&amp;TEXT(ROW()-1,"000"))</f>
        <v/>
      </c>
      <c r="AD33">
        <f>INDEX(Rules!$E$2:$E$6,MATCH(O33,Rules!$A$2:$A$6,0))</f>
        <v/>
      </c>
      <c r="AE33" s="2">
        <f>ROUND(AA33*AD33,2)</f>
        <v/>
      </c>
      <c r="AF33">
        <f>RANK(W33,$W$2:$W$181,0)</f>
        <v/>
      </c>
      <c r="AG33">
        <f>IF(AND(AB33&gt;0.18,Y33="LOW"),"PASS",IF(AB33&gt;0.08,"WATCH","FAIL"))</f>
        <v/>
      </c>
      <c r="AH33">
        <f>IFERROR(IF(VLOOKUP(A33,Rules!$G$2:$H$13,2,FALSE)="Priority","Priority Region","Standard Region"),"Standard Region")</f>
        <v/>
      </c>
      <c r="AI33">
        <f>ROUND(SUMPRODUCT(E33:J33,{0.08,0.08,0.15,0.1,0.25,0.34}),2)</f>
        <v/>
      </c>
      <c r="AJ33" s="2">
        <f>ROUND(AE33*INDEX(Rules!$J$2:$J$5,MATCH(MONTH(K33),Rules!$I$2:$I$5,1)),2)</f>
        <v/>
      </c>
    </row>
    <row r="34">
      <c r="A34" t="inlineStr">
        <is>
          <t>Jizzakh</t>
        </is>
      </c>
      <c r="B34" t="inlineStr">
        <is>
          <t>North-2</t>
        </is>
      </c>
      <c r="C34" t="inlineStr">
        <is>
          <t>Bekzod Aliyev</t>
        </is>
      </c>
      <c r="D34" t="n">
        <v>141</v>
      </c>
      <c r="E34" t="n">
        <v>156</v>
      </c>
      <c r="F34" s="2" t="n">
        <v>160</v>
      </c>
      <c r="G34" t="n">
        <v>24</v>
      </c>
      <c r="H34" t="n">
        <v>11</v>
      </c>
      <c r="I34" t="n">
        <v>68</v>
      </c>
      <c r="J34" s="3" t="n">
        <v>1.1064</v>
      </c>
      <c r="K34" s="4" t="inlineStr">
        <is>
          <t>2026-09-01</t>
        </is>
      </c>
      <c r="L34" s="2" t="n">
        <v>112</v>
      </c>
      <c r="M34" s="2" t="n">
        <v>35</v>
      </c>
      <c r="N34" s="3" t="n">
        <v>0.0675</v>
      </c>
      <c r="O34" t="inlineStr">
        <is>
          <t>Tier-4</t>
        </is>
      </c>
      <c r="P34">
        <f>E34-D34</f>
        <v/>
      </c>
      <c r="Q34" s="3">
        <f>IF(D34=0,0,E34/D34-1)</f>
        <v/>
      </c>
      <c r="R34" s="2">
        <f>E34*F34</f>
        <v/>
      </c>
      <c r="S34" s="2">
        <f>H34*(F34*1.5/8)</f>
        <v/>
      </c>
      <c r="T34" s="2">
        <f>R34+S34+L34+M34</f>
        <v/>
      </c>
      <c r="U34">
        <f>IF(G34=0,0,E34/G34)</f>
        <v/>
      </c>
      <c r="V34">
        <f>IF(I34&gt;=95,"A",IF(I34&gt;=85,"B",IF(I34&gt;=75,"C","D")))</f>
        <v/>
      </c>
      <c r="W34">
        <f>ROUND((J34*35)+(I34*0.25)+(U34*0.2)+(IF(Q34&gt;0,100,MAX(0,100+Q34*100))*0.2),2)</f>
        <v/>
      </c>
      <c r="X34" s="2">
        <f>ROUND(T34*N34*IF(V34="A",1.25,IF(V34="B",1.1,IF(V34="C",0.9,0.5))),2)</f>
        <v/>
      </c>
      <c r="Y34">
        <f>IF(OR(I34&lt;80,J34&lt;0.75,E34&lt;D34*0.85),"HIGH",IF(OR(I34&lt;90,J34&lt;0.9),"MEDIUM","LOW"))</f>
        <v/>
      </c>
      <c r="Z34" s="2">
        <f>ROUND(E34*INDEX(Rules!$B$2:$B$6,MATCH(O34,Rules!$A$2:$A$6,0))*INDEX(Rules!$C$2:$C$5,MATCH(V34,Rules!$D$2:$D$5,0)),2)</f>
        <v/>
      </c>
      <c r="AA34" s="2">
        <f>Z34-T34-X34</f>
        <v/>
      </c>
      <c r="AB34" s="3">
        <f>IF(Z34=0,0,AA34/Z34)</f>
        <v/>
      </c>
      <c r="AC34">
        <f>UPPER(LEFT(A34,3)&amp;"-"&amp;LEFT(B34,3)&amp;"-"&amp;TEXT(ROW()-1,"000"))</f>
        <v/>
      </c>
      <c r="AD34">
        <f>INDEX(Rules!$E$2:$E$6,MATCH(O34,Rules!$A$2:$A$6,0))</f>
        <v/>
      </c>
      <c r="AE34" s="2">
        <f>ROUND(AA34*AD34,2)</f>
        <v/>
      </c>
      <c r="AF34">
        <f>RANK(W34,$W$2:$W$181,0)</f>
        <v/>
      </c>
      <c r="AG34">
        <f>IF(AND(AB34&gt;0.18,Y34="LOW"),"PASS",IF(AB34&gt;0.08,"WATCH","FAIL"))</f>
        <v/>
      </c>
      <c r="AH34">
        <f>IFERROR(IF(VLOOKUP(A34,Rules!$G$2:$H$13,2,FALSE)="Priority","Priority Region","Standard Region"),"Standard Region")</f>
        <v/>
      </c>
      <c r="AI34">
        <f>ROUND(SUMPRODUCT(E34:J34,{0.08,0.08,0.15,0.1,0.25,0.34}),2)</f>
        <v/>
      </c>
      <c r="AJ34" s="2">
        <f>ROUND(AE34*INDEX(Rules!$J$2:$J$5,MATCH(MONTH(K34),Rules!$I$2:$I$5,1)),2)</f>
        <v/>
      </c>
    </row>
    <row r="35">
      <c r="A35" t="inlineStr">
        <is>
          <t>Navoi</t>
        </is>
      </c>
      <c r="B35" t="inlineStr">
        <is>
          <t>South-3</t>
        </is>
      </c>
      <c r="C35" t="inlineStr">
        <is>
          <t>Dilshod Rustamov</t>
        </is>
      </c>
      <c r="D35" t="n">
        <v>148</v>
      </c>
      <c r="E35" t="n">
        <v>170</v>
      </c>
      <c r="F35" s="2" t="n">
        <v>169</v>
      </c>
      <c r="G35" t="n">
        <v>25</v>
      </c>
      <c r="H35" t="n">
        <v>14</v>
      </c>
      <c r="I35" t="n">
        <v>73</v>
      </c>
      <c r="J35" s="3" t="n">
        <v>1.1486</v>
      </c>
      <c r="K35" s="4" t="inlineStr">
        <is>
          <t>2026-10-01</t>
        </is>
      </c>
      <c r="L35" s="2" t="n">
        <v>120</v>
      </c>
      <c r="M35" s="2" t="n">
        <v>40</v>
      </c>
      <c r="N35" s="3" t="n">
        <v>0.08</v>
      </c>
      <c r="O35" t="inlineStr">
        <is>
          <t>Tier-5</t>
        </is>
      </c>
      <c r="P35">
        <f>E35-D35</f>
        <v/>
      </c>
      <c r="Q35" s="3">
        <f>IF(D35=0,0,E35/D35-1)</f>
        <v/>
      </c>
      <c r="R35" s="2">
        <f>E35*F35</f>
        <v/>
      </c>
      <c r="S35" s="2">
        <f>H35*(F35*1.5/8)</f>
        <v/>
      </c>
      <c r="T35" s="2">
        <f>R35+S35+L35+M35</f>
        <v/>
      </c>
      <c r="U35">
        <f>IF(G35=0,0,E35/G35)</f>
        <v/>
      </c>
      <c r="V35">
        <f>IF(I35&gt;=95,"A",IF(I35&gt;=85,"B",IF(I35&gt;=75,"C","D")))</f>
        <v/>
      </c>
      <c r="W35">
        <f>ROUND((J35*35)+(I35*0.25)+(U35*0.2)+(IF(Q35&gt;0,100,MAX(0,100+Q35*100))*0.2),2)</f>
        <v/>
      </c>
      <c r="X35" s="2">
        <f>ROUND(T35*N35*IF(V35="A",1.25,IF(V35="B",1.1,IF(V35="C",0.9,0.5))),2)</f>
        <v/>
      </c>
      <c r="Y35">
        <f>IF(OR(I35&lt;80,J35&lt;0.75,E35&lt;D35*0.85),"HIGH",IF(OR(I35&lt;90,J35&lt;0.9),"MEDIUM","LOW"))</f>
        <v/>
      </c>
      <c r="Z35" s="2">
        <f>ROUND(E35*INDEX(Rules!$B$2:$B$6,MATCH(O35,Rules!$A$2:$A$6,0))*INDEX(Rules!$C$2:$C$5,MATCH(V35,Rules!$D$2:$D$5,0)),2)</f>
        <v/>
      </c>
      <c r="AA35" s="2">
        <f>Z35-T35-X35</f>
        <v/>
      </c>
      <c r="AB35" s="3">
        <f>IF(Z35=0,0,AA35/Z35)</f>
        <v/>
      </c>
      <c r="AC35">
        <f>UPPER(LEFT(A35,3)&amp;"-"&amp;LEFT(B35,3)&amp;"-"&amp;TEXT(ROW()-1,"000"))</f>
        <v/>
      </c>
      <c r="AD35">
        <f>INDEX(Rules!$E$2:$E$6,MATCH(O35,Rules!$A$2:$A$6,0))</f>
        <v/>
      </c>
      <c r="AE35" s="2">
        <f>ROUND(AA35*AD35,2)</f>
        <v/>
      </c>
      <c r="AF35">
        <f>RANK(W35,$W$2:$W$181,0)</f>
        <v/>
      </c>
      <c r="AG35">
        <f>IF(AND(AB35&gt;0.18,Y35="LOW"),"PASS",IF(AB35&gt;0.08,"WATCH","FAIL"))</f>
        <v/>
      </c>
      <c r="AH35">
        <f>IFERROR(IF(VLOOKUP(A35,Rules!$G$2:$H$13,2,FALSE)="Priority","Priority Region","Standard Region"),"Standard Region")</f>
        <v/>
      </c>
      <c r="AI35">
        <f>ROUND(SUMPRODUCT(E35:J35,{0.08,0.08,0.15,0.1,0.25,0.34}),2)</f>
        <v/>
      </c>
      <c r="AJ35" s="2">
        <f>ROUND(AE35*INDEX(Rules!$J$2:$J$5,MATCH(MONTH(K35),Rules!$I$2:$I$5,1)),2)</f>
        <v/>
      </c>
    </row>
    <row r="36">
      <c r="A36" t="inlineStr">
        <is>
          <t>Syrdarya</t>
        </is>
      </c>
      <c r="B36" t="inlineStr">
        <is>
          <t>East-4</t>
        </is>
      </c>
      <c r="C36" t="inlineStr">
        <is>
          <t>Malika Ergasheva</t>
        </is>
      </c>
      <c r="D36" t="n">
        <v>155</v>
      </c>
      <c r="E36" t="n">
        <v>179</v>
      </c>
      <c r="F36" s="2" t="n">
        <v>178</v>
      </c>
      <c r="G36" t="n">
        <v>26</v>
      </c>
      <c r="H36" t="n">
        <v>17</v>
      </c>
      <c r="I36" t="n">
        <v>78</v>
      </c>
      <c r="J36" s="3" t="n">
        <v>1.1548</v>
      </c>
      <c r="K36" s="4" t="inlineStr">
        <is>
          <t>2026-11-01</t>
        </is>
      </c>
      <c r="L36" s="2" t="n">
        <v>128</v>
      </c>
      <c r="M36" s="2" t="n">
        <v>45</v>
      </c>
      <c r="N36" s="3" t="n">
        <v>0.0925</v>
      </c>
      <c r="O36" t="inlineStr">
        <is>
          <t>Tier-1</t>
        </is>
      </c>
      <c r="P36">
        <f>E36-D36</f>
        <v/>
      </c>
      <c r="Q36" s="3">
        <f>IF(D36=0,0,E36/D36-1)</f>
        <v/>
      </c>
      <c r="R36" s="2">
        <f>E36*F36</f>
        <v/>
      </c>
      <c r="S36" s="2">
        <f>H36*(F36*1.5/8)</f>
        <v/>
      </c>
      <c r="T36" s="2">
        <f>R36+S36+L36+M36</f>
        <v/>
      </c>
      <c r="U36">
        <f>IF(G36=0,0,E36/G36)</f>
        <v/>
      </c>
      <c r="V36">
        <f>IF(I36&gt;=95,"A",IF(I36&gt;=85,"B",IF(I36&gt;=75,"C","D")))</f>
        <v/>
      </c>
      <c r="W36">
        <f>ROUND((J36*35)+(I36*0.25)+(U36*0.2)+(IF(Q36&gt;0,100,MAX(0,100+Q36*100))*0.2),2)</f>
        <v/>
      </c>
      <c r="X36" s="2">
        <f>ROUND(T36*N36*IF(V36="A",1.25,IF(V36="B",1.1,IF(V36="C",0.9,0.5))),2)</f>
        <v/>
      </c>
      <c r="Y36">
        <f>IF(OR(I36&lt;80,J36&lt;0.75,E36&lt;D36*0.85),"HIGH",IF(OR(I36&lt;90,J36&lt;0.9),"MEDIUM","LOW"))</f>
        <v/>
      </c>
      <c r="Z36" s="2">
        <f>ROUND(E36*INDEX(Rules!$B$2:$B$6,MATCH(O36,Rules!$A$2:$A$6,0))*INDEX(Rules!$C$2:$C$5,MATCH(V36,Rules!$D$2:$D$5,0)),2)</f>
        <v/>
      </c>
      <c r="AA36" s="2">
        <f>Z36-T36-X36</f>
        <v/>
      </c>
      <c r="AB36" s="3">
        <f>IF(Z36=0,0,AA36/Z36)</f>
        <v/>
      </c>
      <c r="AC36">
        <f>UPPER(LEFT(A36,3)&amp;"-"&amp;LEFT(B36,3)&amp;"-"&amp;TEXT(ROW()-1,"000"))</f>
        <v/>
      </c>
      <c r="AD36">
        <f>INDEX(Rules!$E$2:$E$6,MATCH(O36,Rules!$A$2:$A$6,0))</f>
        <v/>
      </c>
      <c r="AE36" s="2">
        <f>ROUND(AA36*AD36,2)</f>
        <v/>
      </c>
      <c r="AF36">
        <f>RANK(W36,$W$2:$W$181,0)</f>
        <v/>
      </c>
      <c r="AG36">
        <f>IF(AND(AB36&gt;0.18,Y36="LOW"),"PASS",IF(AB36&gt;0.08,"WATCH","FAIL"))</f>
        <v/>
      </c>
      <c r="AH36">
        <f>IFERROR(IF(VLOOKUP(A36,Rules!$G$2:$H$13,2,FALSE)="Priority","Priority Region","Standard Region"),"Standard Region")</f>
        <v/>
      </c>
      <c r="AI36">
        <f>ROUND(SUMPRODUCT(E36:J36,{0.08,0.08,0.15,0.1,0.25,0.34}),2)</f>
        <v/>
      </c>
      <c r="AJ36" s="2">
        <f>ROUND(AE36*INDEX(Rules!$J$2:$J$5,MATCH(MONTH(K36),Rules!$I$2:$I$5,1)),2)</f>
        <v/>
      </c>
    </row>
    <row r="37">
      <c r="A37" t="inlineStr">
        <is>
          <t>Tashkent</t>
        </is>
      </c>
      <c r="B37" t="inlineStr">
        <is>
          <t>West-1</t>
        </is>
      </c>
      <c r="C37" t="inlineStr">
        <is>
          <t>Shahzod Islomov</t>
        </is>
      </c>
      <c r="D37" t="n">
        <v>162</v>
      </c>
      <c r="E37" t="n">
        <v>139</v>
      </c>
      <c r="F37" s="2" t="n">
        <v>187</v>
      </c>
      <c r="G37" t="n">
        <v>18</v>
      </c>
      <c r="H37" t="n">
        <v>20</v>
      </c>
      <c r="I37" t="n">
        <v>83</v>
      </c>
      <c r="J37" s="3" t="n">
        <v>0.858</v>
      </c>
      <c r="K37" s="4" t="inlineStr">
        <is>
          <t>2026-12-01</t>
        </is>
      </c>
      <c r="L37" s="2" t="n">
        <v>40</v>
      </c>
      <c r="M37" s="2" t="n">
        <v>50</v>
      </c>
      <c r="N37" s="3" t="n">
        <v>0.03</v>
      </c>
      <c r="O37" t="inlineStr">
        <is>
          <t>Tier-2</t>
        </is>
      </c>
      <c r="P37">
        <f>E37-D37</f>
        <v/>
      </c>
      <c r="Q37" s="3">
        <f>IF(D37=0,0,E37/D37-1)</f>
        <v/>
      </c>
      <c r="R37" s="2">
        <f>E37*F37</f>
        <v/>
      </c>
      <c r="S37" s="2">
        <f>H37*(F37*1.5/8)</f>
        <v/>
      </c>
      <c r="T37" s="2">
        <f>R37+S37+L37+M37</f>
        <v/>
      </c>
      <c r="U37">
        <f>IF(G37=0,0,E37/G37)</f>
        <v/>
      </c>
      <c r="V37">
        <f>IF(I37&gt;=95,"A",IF(I37&gt;=85,"B",IF(I37&gt;=75,"C","D")))</f>
        <v/>
      </c>
      <c r="W37">
        <f>ROUND((J37*35)+(I37*0.25)+(U37*0.2)+(IF(Q37&gt;0,100,MAX(0,100+Q37*100))*0.2),2)</f>
        <v/>
      </c>
      <c r="X37" s="2">
        <f>ROUND(T37*N37*IF(V37="A",1.25,IF(V37="B",1.1,IF(V37="C",0.9,0.5))),2)</f>
        <v/>
      </c>
      <c r="Y37">
        <f>IF(OR(I37&lt;80,J37&lt;0.75,E37&lt;D37*0.85),"HIGH",IF(OR(I37&lt;90,J37&lt;0.9),"MEDIUM","LOW"))</f>
        <v/>
      </c>
      <c r="Z37" s="2">
        <f>ROUND(E37*INDEX(Rules!$B$2:$B$6,MATCH(O37,Rules!$A$2:$A$6,0))*INDEX(Rules!$C$2:$C$5,MATCH(V37,Rules!$D$2:$D$5,0)),2)</f>
        <v/>
      </c>
      <c r="AA37" s="2">
        <f>Z37-T37-X37</f>
        <v/>
      </c>
      <c r="AB37" s="3">
        <f>IF(Z37=0,0,AA37/Z37)</f>
        <v/>
      </c>
      <c r="AC37">
        <f>UPPER(LEFT(A37,3)&amp;"-"&amp;LEFT(B37,3)&amp;"-"&amp;TEXT(ROW()-1,"000"))</f>
        <v/>
      </c>
      <c r="AD37">
        <f>INDEX(Rules!$E$2:$E$6,MATCH(O37,Rules!$A$2:$A$6,0))</f>
        <v/>
      </c>
      <c r="AE37" s="2">
        <f>ROUND(AA37*AD37,2)</f>
        <v/>
      </c>
      <c r="AF37">
        <f>RANK(W37,$W$2:$W$181,0)</f>
        <v/>
      </c>
      <c r="AG37">
        <f>IF(AND(AB37&gt;0.18,Y37="LOW"),"PASS",IF(AB37&gt;0.08,"WATCH","FAIL"))</f>
        <v/>
      </c>
      <c r="AH37">
        <f>IFERROR(IF(VLOOKUP(A37,Rules!$G$2:$H$13,2,FALSE)="Priority","Priority Region","Standard Region"),"Standard Region")</f>
        <v/>
      </c>
      <c r="AI37">
        <f>ROUND(SUMPRODUCT(E37:J37,{0.08,0.08,0.15,0.1,0.25,0.34}),2)</f>
        <v/>
      </c>
      <c r="AJ37" s="2">
        <f>ROUND(AE37*INDEX(Rules!$J$2:$J$5,MATCH(MONTH(K37),Rules!$I$2:$I$5,1)),2)</f>
        <v/>
      </c>
    </row>
    <row r="38">
      <c r="A38" t="inlineStr">
        <is>
          <t>Samarkand</t>
        </is>
      </c>
      <c r="B38" t="inlineStr">
        <is>
          <t>Industrial-2</t>
        </is>
      </c>
      <c r="C38" t="inlineStr">
        <is>
          <t>Nilufar Tursunova</t>
        </is>
      </c>
      <c r="D38" t="n">
        <v>169</v>
      </c>
      <c r="E38" t="n">
        <v>153</v>
      </c>
      <c r="F38" s="2" t="n">
        <v>196</v>
      </c>
      <c r="G38" t="n">
        <v>19</v>
      </c>
      <c r="H38" t="n">
        <v>1</v>
      </c>
      <c r="I38" t="n">
        <v>88</v>
      </c>
      <c r="J38" s="3" t="n">
        <v>0.9053</v>
      </c>
      <c r="K38" s="4" t="inlineStr">
        <is>
          <t>2026-01-01</t>
        </is>
      </c>
      <c r="L38" s="2" t="n">
        <v>48</v>
      </c>
      <c r="M38" s="2" t="n">
        <v>55</v>
      </c>
      <c r="N38" s="3" t="n">
        <v>0.0425</v>
      </c>
      <c r="O38" t="inlineStr">
        <is>
          <t>Tier-3</t>
        </is>
      </c>
      <c r="P38">
        <f>E38-D38</f>
        <v/>
      </c>
      <c r="Q38" s="3">
        <f>IF(D38=0,0,E38/D38-1)</f>
        <v/>
      </c>
      <c r="R38" s="2">
        <f>E38*F38</f>
        <v/>
      </c>
      <c r="S38" s="2">
        <f>H38*(F38*1.5/8)</f>
        <v/>
      </c>
      <c r="T38" s="2">
        <f>R38+S38+L38+M38</f>
        <v/>
      </c>
      <c r="U38">
        <f>IF(G38=0,0,E38/G38)</f>
        <v/>
      </c>
      <c r="V38">
        <f>IF(I38&gt;=95,"A",IF(I38&gt;=85,"B",IF(I38&gt;=75,"C","D")))</f>
        <v/>
      </c>
      <c r="W38">
        <f>ROUND((J38*35)+(I38*0.25)+(U38*0.2)+(IF(Q38&gt;0,100,MAX(0,100+Q38*100))*0.2),2)</f>
        <v/>
      </c>
      <c r="X38" s="2">
        <f>ROUND(T38*N38*IF(V38="A",1.25,IF(V38="B",1.1,IF(V38="C",0.9,0.5))),2)</f>
        <v/>
      </c>
      <c r="Y38">
        <f>IF(OR(I38&lt;80,J38&lt;0.75,E38&lt;D38*0.85),"HIGH",IF(OR(I38&lt;90,J38&lt;0.9),"MEDIUM","LOW"))</f>
        <v/>
      </c>
      <c r="Z38" s="2">
        <f>ROUND(E38*INDEX(Rules!$B$2:$B$6,MATCH(O38,Rules!$A$2:$A$6,0))*INDEX(Rules!$C$2:$C$5,MATCH(V38,Rules!$D$2:$D$5,0)),2)</f>
        <v/>
      </c>
      <c r="AA38" s="2">
        <f>Z38-T38-X38</f>
        <v/>
      </c>
      <c r="AB38" s="3">
        <f>IF(Z38=0,0,AA38/Z38)</f>
        <v/>
      </c>
      <c r="AC38">
        <f>UPPER(LEFT(A38,3)&amp;"-"&amp;LEFT(B38,3)&amp;"-"&amp;TEXT(ROW()-1,"000"))</f>
        <v/>
      </c>
      <c r="AD38">
        <f>INDEX(Rules!$E$2:$E$6,MATCH(O38,Rules!$A$2:$A$6,0))</f>
        <v/>
      </c>
      <c r="AE38" s="2">
        <f>ROUND(AA38*AD38,2)</f>
        <v/>
      </c>
      <c r="AF38">
        <f>RANK(W38,$W$2:$W$181,0)</f>
        <v/>
      </c>
      <c r="AG38">
        <f>IF(AND(AB38&gt;0.18,Y38="LOW"),"PASS",IF(AB38&gt;0.08,"WATCH","FAIL"))</f>
        <v/>
      </c>
      <c r="AH38">
        <f>IFERROR(IF(VLOOKUP(A38,Rules!$G$2:$H$13,2,FALSE)="Priority","Priority Region","Standard Region"),"Standard Region")</f>
        <v/>
      </c>
      <c r="AI38">
        <f>ROUND(SUMPRODUCT(E38:J38,{0.08,0.08,0.15,0.1,0.25,0.34}),2)</f>
        <v/>
      </c>
      <c r="AJ38" s="2">
        <f>ROUND(AE38*INDEX(Rules!$J$2:$J$5,MATCH(MONTH(K38),Rules!$I$2:$I$5,1)),2)</f>
        <v/>
      </c>
    </row>
    <row r="39">
      <c r="A39" t="inlineStr">
        <is>
          <t>Bukhara</t>
        </is>
      </c>
      <c r="B39" t="inlineStr">
        <is>
          <t>Rural-3</t>
        </is>
      </c>
      <c r="C39" t="inlineStr">
        <is>
          <t>Sardor Jabborov</t>
        </is>
      </c>
      <c r="D39" t="n">
        <v>176</v>
      </c>
      <c r="E39" t="n">
        <v>167</v>
      </c>
      <c r="F39" s="2" t="n">
        <v>205</v>
      </c>
      <c r="G39" t="n">
        <v>20</v>
      </c>
      <c r="H39" t="n">
        <v>4</v>
      </c>
      <c r="I39" t="n">
        <v>93</v>
      </c>
      <c r="J39" s="3" t="n">
        <v>0.9489</v>
      </c>
      <c r="K39" s="4" t="inlineStr">
        <is>
          <t>2026-02-01</t>
        </is>
      </c>
      <c r="L39" s="2" t="n">
        <v>56</v>
      </c>
      <c r="M39" s="2" t="n">
        <v>60</v>
      </c>
      <c r="N39" s="3" t="n">
        <v>0.055</v>
      </c>
      <c r="O39" t="inlineStr">
        <is>
          <t>Tier-4</t>
        </is>
      </c>
      <c r="P39">
        <f>E39-D39</f>
        <v/>
      </c>
      <c r="Q39" s="3">
        <f>IF(D39=0,0,E39/D39-1)</f>
        <v/>
      </c>
      <c r="R39" s="2">
        <f>E39*F39</f>
        <v/>
      </c>
      <c r="S39" s="2">
        <f>H39*(F39*1.5/8)</f>
        <v/>
      </c>
      <c r="T39" s="2">
        <f>R39+S39+L39+M39</f>
        <v/>
      </c>
      <c r="U39">
        <f>IF(G39=0,0,E39/G39)</f>
        <v/>
      </c>
      <c r="V39">
        <f>IF(I39&gt;=95,"A",IF(I39&gt;=85,"B",IF(I39&gt;=75,"C","D")))</f>
        <v/>
      </c>
      <c r="W39">
        <f>ROUND((J39*35)+(I39*0.25)+(U39*0.2)+(IF(Q39&gt;0,100,MAX(0,100+Q39*100))*0.2),2)</f>
        <v/>
      </c>
      <c r="X39" s="2">
        <f>ROUND(T39*N39*IF(V39="A",1.25,IF(V39="B",1.1,IF(V39="C",0.9,0.5))),2)</f>
        <v/>
      </c>
      <c r="Y39">
        <f>IF(OR(I39&lt;80,J39&lt;0.75,E39&lt;D39*0.85),"HIGH",IF(OR(I39&lt;90,J39&lt;0.9),"MEDIUM","LOW"))</f>
        <v/>
      </c>
      <c r="Z39" s="2">
        <f>ROUND(E39*INDEX(Rules!$B$2:$B$6,MATCH(O39,Rules!$A$2:$A$6,0))*INDEX(Rules!$C$2:$C$5,MATCH(V39,Rules!$D$2:$D$5,0)),2)</f>
        <v/>
      </c>
      <c r="AA39" s="2">
        <f>Z39-T39-X39</f>
        <v/>
      </c>
      <c r="AB39" s="3">
        <f>IF(Z39=0,0,AA39/Z39)</f>
        <v/>
      </c>
      <c r="AC39">
        <f>UPPER(LEFT(A39,3)&amp;"-"&amp;LEFT(B39,3)&amp;"-"&amp;TEXT(ROW()-1,"000"))</f>
        <v/>
      </c>
      <c r="AD39">
        <f>INDEX(Rules!$E$2:$E$6,MATCH(O39,Rules!$A$2:$A$6,0))</f>
        <v/>
      </c>
      <c r="AE39" s="2">
        <f>ROUND(AA39*AD39,2)</f>
        <v/>
      </c>
      <c r="AF39">
        <f>RANK(W39,$W$2:$W$181,0)</f>
        <v/>
      </c>
      <c r="AG39">
        <f>IF(AND(AB39&gt;0.18,Y39="LOW"),"PASS",IF(AB39&gt;0.08,"WATCH","FAIL"))</f>
        <v/>
      </c>
      <c r="AH39">
        <f>IFERROR(IF(VLOOKUP(A39,Rules!$G$2:$H$13,2,FALSE)="Priority","Priority Region","Standard Region"),"Standard Region")</f>
        <v/>
      </c>
      <c r="AI39">
        <f>ROUND(SUMPRODUCT(E39:J39,{0.08,0.08,0.15,0.1,0.25,0.34}),2)</f>
        <v/>
      </c>
      <c r="AJ39" s="2">
        <f>ROUND(AE39*INDEX(Rules!$J$2:$J$5,MATCH(MONTH(K39),Rules!$I$2:$I$5,1)),2)</f>
        <v/>
      </c>
    </row>
    <row r="40">
      <c r="A40" t="inlineStr">
        <is>
          <t>Andijan</t>
        </is>
      </c>
      <c r="B40" t="inlineStr">
        <is>
          <t>Urban-4</t>
        </is>
      </c>
      <c r="C40" t="inlineStr">
        <is>
          <t>Kamola Rahimova</t>
        </is>
      </c>
      <c r="D40" t="n">
        <v>183</v>
      </c>
      <c r="E40" t="n">
        <v>181</v>
      </c>
      <c r="F40" s="2" t="n">
        <v>214</v>
      </c>
      <c r="G40" t="n">
        <v>21</v>
      </c>
      <c r="H40" t="n">
        <v>7</v>
      </c>
      <c r="I40" t="n">
        <v>98</v>
      </c>
      <c r="J40" s="3" t="n">
        <v>0.9891</v>
      </c>
      <c r="K40" s="4" t="inlineStr">
        <is>
          <t>2026-03-01</t>
        </is>
      </c>
      <c r="L40" s="2" t="n">
        <v>64</v>
      </c>
      <c r="M40" s="2" t="n">
        <v>65</v>
      </c>
      <c r="N40" s="3" t="n">
        <v>0.0675</v>
      </c>
      <c r="O40" t="inlineStr">
        <is>
          <t>Tier-5</t>
        </is>
      </c>
      <c r="P40">
        <f>E40-D40</f>
        <v/>
      </c>
      <c r="Q40" s="3">
        <f>IF(D40=0,0,E40/D40-1)</f>
        <v/>
      </c>
      <c r="R40" s="2">
        <f>E40*F40</f>
        <v/>
      </c>
      <c r="S40" s="2">
        <f>H40*(F40*1.5/8)</f>
        <v/>
      </c>
      <c r="T40" s="2">
        <f>R40+S40+L40+M40</f>
        <v/>
      </c>
      <c r="U40">
        <f>IF(G40=0,0,E40/G40)</f>
        <v/>
      </c>
      <c r="V40">
        <f>IF(I40&gt;=95,"A",IF(I40&gt;=85,"B",IF(I40&gt;=75,"C","D")))</f>
        <v/>
      </c>
      <c r="W40">
        <f>ROUND((J40*35)+(I40*0.25)+(U40*0.2)+(IF(Q40&gt;0,100,MAX(0,100+Q40*100))*0.2),2)</f>
        <v/>
      </c>
      <c r="X40" s="2">
        <f>ROUND(T40*N40*IF(V40="A",1.25,IF(V40="B",1.1,IF(V40="C",0.9,0.5))),2)</f>
        <v/>
      </c>
      <c r="Y40">
        <f>IF(OR(I40&lt;80,J40&lt;0.75,E40&lt;D40*0.85),"HIGH",IF(OR(I40&lt;90,J40&lt;0.9),"MEDIUM","LOW"))</f>
        <v/>
      </c>
      <c r="Z40" s="2">
        <f>ROUND(E40*INDEX(Rules!$B$2:$B$6,MATCH(O40,Rules!$A$2:$A$6,0))*INDEX(Rules!$C$2:$C$5,MATCH(V40,Rules!$D$2:$D$5,0)),2)</f>
        <v/>
      </c>
      <c r="AA40" s="2">
        <f>Z40-T40-X40</f>
        <v/>
      </c>
      <c r="AB40" s="3">
        <f>IF(Z40=0,0,AA40/Z40)</f>
        <v/>
      </c>
      <c r="AC40">
        <f>UPPER(LEFT(A40,3)&amp;"-"&amp;LEFT(B40,3)&amp;"-"&amp;TEXT(ROW()-1,"000"))</f>
        <v/>
      </c>
      <c r="AD40">
        <f>INDEX(Rules!$E$2:$E$6,MATCH(O40,Rules!$A$2:$A$6,0))</f>
        <v/>
      </c>
      <c r="AE40" s="2">
        <f>ROUND(AA40*AD40,2)</f>
        <v/>
      </c>
      <c r="AF40">
        <f>RANK(W40,$W$2:$W$181,0)</f>
        <v/>
      </c>
      <c r="AG40">
        <f>IF(AND(AB40&gt;0.18,Y40="LOW"),"PASS",IF(AB40&gt;0.08,"WATCH","FAIL"))</f>
        <v/>
      </c>
      <c r="AH40">
        <f>IFERROR(IF(VLOOKUP(A40,Rules!$G$2:$H$13,2,FALSE)="Priority","Priority Region","Standard Region"),"Standard Region")</f>
        <v/>
      </c>
      <c r="AI40">
        <f>ROUND(SUMPRODUCT(E40:J40,{0.08,0.08,0.15,0.1,0.25,0.34}),2)</f>
        <v/>
      </c>
      <c r="AJ40" s="2">
        <f>ROUND(AE40*INDEX(Rules!$J$2:$J$5,MATCH(MONTH(K40),Rules!$I$2:$I$5,1)),2)</f>
        <v/>
      </c>
    </row>
    <row r="41">
      <c r="A41" t="inlineStr">
        <is>
          <t>Namangan</t>
        </is>
      </c>
      <c r="B41" t="inlineStr">
        <is>
          <t>Central-1</t>
        </is>
      </c>
      <c r="C41" t="inlineStr">
        <is>
          <t>Aziza Karimova</t>
        </is>
      </c>
      <c r="D41" t="n">
        <v>190</v>
      </c>
      <c r="E41" t="n">
        <v>190</v>
      </c>
      <c r="F41" s="2" t="n">
        <v>223</v>
      </c>
      <c r="G41" t="n">
        <v>22</v>
      </c>
      <c r="H41" t="n">
        <v>10</v>
      </c>
      <c r="I41" t="n">
        <v>70</v>
      </c>
      <c r="J41" s="3" t="n">
        <v>1</v>
      </c>
      <c r="K41" s="4" t="inlineStr">
        <is>
          <t>2026-04-01</t>
        </is>
      </c>
      <c r="L41" s="2" t="n">
        <v>72</v>
      </c>
      <c r="M41" s="2" t="n">
        <v>20</v>
      </c>
      <c r="N41" s="3" t="n">
        <v>0.08</v>
      </c>
      <c r="O41" t="inlineStr">
        <is>
          <t>Tier-1</t>
        </is>
      </c>
      <c r="P41">
        <f>E41-D41</f>
        <v/>
      </c>
      <c r="Q41" s="3">
        <f>IF(D41=0,0,E41/D41-1)</f>
        <v/>
      </c>
      <c r="R41" s="2">
        <f>E41*F41</f>
        <v/>
      </c>
      <c r="S41" s="2">
        <f>H41*(F41*1.5/8)</f>
        <v/>
      </c>
      <c r="T41" s="2">
        <f>R41+S41+L41+M41</f>
        <v/>
      </c>
      <c r="U41">
        <f>IF(G41=0,0,E41/G41)</f>
        <v/>
      </c>
      <c r="V41">
        <f>IF(I41&gt;=95,"A",IF(I41&gt;=85,"B",IF(I41&gt;=75,"C","D")))</f>
        <v/>
      </c>
      <c r="W41">
        <f>ROUND((J41*35)+(I41*0.25)+(U41*0.2)+(IF(Q41&gt;0,100,MAX(0,100+Q41*100))*0.2),2)</f>
        <v/>
      </c>
      <c r="X41" s="2">
        <f>ROUND(T41*N41*IF(V41="A",1.25,IF(V41="B",1.1,IF(V41="C",0.9,0.5))),2)</f>
        <v/>
      </c>
      <c r="Y41">
        <f>IF(OR(I41&lt;80,J41&lt;0.75,E41&lt;D41*0.85),"HIGH",IF(OR(I41&lt;90,J41&lt;0.9),"MEDIUM","LOW"))</f>
        <v/>
      </c>
      <c r="Z41" s="2">
        <f>ROUND(E41*INDEX(Rules!$B$2:$B$6,MATCH(O41,Rules!$A$2:$A$6,0))*INDEX(Rules!$C$2:$C$5,MATCH(V41,Rules!$D$2:$D$5,0)),2)</f>
        <v/>
      </c>
      <c r="AA41" s="2">
        <f>Z41-T41-X41</f>
        <v/>
      </c>
      <c r="AB41" s="3">
        <f>IF(Z41=0,0,AA41/Z41)</f>
        <v/>
      </c>
      <c r="AC41">
        <f>UPPER(LEFT(A41,3)&amp;"-"&amp;LEFT(B41,3)&amp;"-"&amp;TEXT(ROW()-1,"000"))</f>
        <v/>
      </c>
      <c r="AD41">
        <f>INDEX(Rules!$E$2:$E$6,MATCH(O41,Rules!$A$2:$A$6,0))</f>
        <v/>
      </c>
      <c r="AE41" s="2">
        <f>ROUND(AA41*AD41,2)</f>
        <v/>
      </c>
      <c r="AF41">
        <f>RANK(W41,$W$2:$W$181,0)</f>
        <v/>
      </c>
      <c r="AG41">
        <f>IF(AND(AB41&gt;0.18,Y41="LOW"),"PASS",IF(AB41&gt;0.08,"WATCH","FAIL"))</f>
        <v/>
      </c>
      <c r="AH41">
        <f>IFERROR(IF(VLOOKUP(A41,Rules!$G$2:$H$13,2,FALSE)="Priority","Priority Region","Standard Region"),"Standard Region")</f>
        <v/>
      </c>
      <c r="AI41">
        <f>ROUND(SUMPRODUCT(E41:J41,{0.08,0.08,0.15,0.1,0.25,0.34}),2)</f>
        <v/>
      </c>
      <c r="AJ41" s="2">
        <f>ROUND(AE41*INDEX(Rules!$J$2:$J$5,MATCH(MONTH(K41),Rules!$I$2:$I$5,1)),2)</f>
        <v/>
      </c>
    </row>
    <row r="42">
      <c r="A42" t="inlineStr">
        <is>
          <t>Fergana</t>
        </is>
      </c>
      <c r="B42" t="inlineStr">
        <is>
          <t>North-2</t>
        </is>
      </c>
      <c r="C42" t="inlineStr">
        <is>
          <t>Bekzod Aliyev</t>
        </is>
      </c>
      <c r="D42" t="n">
        <v>197</v>
      </c>
      <c r="E42" t="n">
        <v>204</v>
      </c>
      <c r="F42" s="2" t="n">
        <v>232</v>
      </c>
      <c r="G42" t="n">
        <v>23</v>
      </c>
      <c r="H42" t="n">
        <v>13</v>
      </c>
      <c r="I42" t="n">
        <v>75</v>
      </c>
      <c r="J42" s="3" t="n">
        <v>1.0355</v>
      </c>
      <c r="K42" s="4" t="inlineStr">
        <is>
          <t>2026-05-01</t>
        </is>
      </c>
      <c r="L42" s="2" t="n">
        <v>80</v>
      </c>
      <c r="M42" s="2" t="n">
        <v>25</v>
      </c>
      <c r="N42" s="3" t="n">
        <v>0.0925</v>
      </c>
      <c r="O42" t="inlineStr">
        <is>
          <t>Tier-2</t>
        </is>
      </c>
      <c r="P42">
        <f>E42-D42</f>
        <v/>
      </c>
      <c r="Q42" s="3">
        <f>IF(D42=0,0,E42/D42-1)</f>
        <v/>
      </c>
      <c r="R42" s="2">
        <f>E42*F42</f>
        <v/>
      </c>
      <c r="S42" s="2">
        <f>H42*(F42*1.5/8)</f>
        <v/>
      </c>
      <c r="T42" s="2">
        <f>R42+S42+L42+M42</f>
        <v/>
      </c>
      <c r="U42">
        <f>IF(G42=0,0,E42/G42)</f>
        <v/>
      </c>
      <c r="V42">
        <f>IF(I42&gt;=95,"A",IF(I42&gt;=85,"B",IF(I42&gt;=75,"C","D")))</f>
        <v/>
      </c>
      <c r="W42">
        <f>ROUND((J42*35)+(I42*0.25)+(U42*0.2)+(IF(Q42&gt;0,100,MAX(0,100+Q42*100))*0.2),2)</f>
        <v/>
      </c>
      <c r="X42" s="2">
        <f>ROUND(T42*N42*IF(V42="A",1.25,IF(V42="B",1.1,IF(V42="C",0.9,0.5))),2)</f>
        <v/>
      </c>
      <c r="Y42">
        <f>IF(OR(I42&lt;80,J42&lt;0.75,E42&lt;D42*0.85),"HIGH",IF(OR(I42&lt;90,J42&lt;0.9),"MEDIUM","LOW"))</f>
        <v/>
      </c>
      <c r="Z42" s="2">
        <f>ROUND(E42*INDEX(Rules!$B$2:$B$6,MATCH(O42,Rules!$A$2:$A$6,0))*INDEX(Rules!$C$2:$C$5,MATCH(V42,Rules!$D$2:$D$5,0)),2)</f>
        <v/>
      </c>
      <c r="AA42" s="2">
        <f>Z42-T42-X42</f>
        <v/>
      </c>
      <c r="AB42" s="3">
        <f>IF(Z42=0,0,AA42/Z42)</f>
        <v/>
      </c>
      <c r="AC42">
        <f>UPPER(LEFT(A42,3)&amp;"-"&amp;LEFT(B42,3)&amp;"-"&amp;TEXT(ROW()-1,"000"))</f>
        <v/>
      </c>
      <c r="AD42">
        <f>INDEX(Rules!$E$2:$E$6,MATCH(O42,Rules!$A$2:$A$6,0))</f>
        <v/>
      </c>
      <c r="AE42" s="2">
        <f>ROUND(AA42*AD42,2)</f>
        <v/>
      </c>
      <c r="AF42">
        <f>RANK(W42,$W$2:$W$181,0)</f>
        <v/>
      </c>
      <c r="AG42">
        <f>IF(AND(AB42&gt;0.18,Y42="LOW"),"PASS",IF(AB42&gt;0.08,"WATCH","FAIL"))</f>
        <v/>
      </c>
      <c r="AH42">
        <f>IFERROR(IF(VLOOKUP(A42,Rules!$G$2:$H$13,2,FALSE)="Priority","Priority Region","Standard Region"),"Standard Region")</f>
        <v/>
      </c>
      <c r="AI42">
        <f>ROUND(SUMPRODUCT(E42:J42,{0.08,0.08,0.15,0.1,0.25,0.34}),2)</f>
        <v/>
      </c>
      <c r="AJ42" s="2">
        <f>ROUND(AE42*INDEX(Rules!$J$2:$J$5,MATCH(MONTH(K42),Rules!$I$2:$I$5,1)),2)</f>
        <v/>
      </c>
    </row>
    <row r="43">
      <c r="A43" t="inlineStr">
        <is>
          <t>Kashkadarya</t>
        </is>
      </c>
      <c r="B43" t="inlineStr">
        <is>
          <t>South-3</t>
        </is>
      </c>
      <c r="C43" t="inlineStr">
        <is>
          <t>Dilshod Rustamov</t>
        </is>
      </c>
      <c r="D43" t="n">
        <v>204</v>
      </c>
      <c r="E43" t="n">
        <v>218</v>
      </c>
      <c r="F43" s="2" t="n">
        <v>115</v>
      </c>
      <c r="G43" t="n">
        <v>24</v>
      </c>
      <c r="H43" t="n">
        <v>16</v>
      </c>
      <c r="I43" t="n">
        <v>80</v>
      </c>
      <c r="J43" s="3" t="n">
        <v>1.0686</v>
      </c>
      <c r="K43" s="4" t="inlineStr">
        <is>
          <t>2026-06-01</t>
        </is>
      </c>
      <c r="L43" s="2" t="n">
        <v>88</v>
      </c>
      <c r="M43" s="2" t="n">
        <v>30</v>
      </c>
      <c r="N43" s="3" t="n">
        <v>0.03</v>
      </c>
      <c r="O43" t="inlineStr">
        <is>
          <t>Tier-3</t>
        </is>
      </c>
      <c r="P43">
        <f>E43-D43</f>
        <v/>
      </c>
      <c r="Q43" s="3">
        <f>IF(D43=0,0,E43/D43-1)</f>
        <v/>
      </c>
      <c r="R43" s="2">
        <f>E43*F43</f>
        <v/>
      </c>
      <c r="S43" s="2">
        <f>H43*(F43*1.5/8)</f>
        <v/>
      </c>
      <c r="T43" s="2">
        <f>R43+S43+L43+M43</f>
        <v/>
      </c>
      <c r="U43">
        <f>IF(G43=0,0,E43/G43)</f>
        <v/>
      </c>
      <c r="V43">
        <f>IF(I43&gt;=95,"A",IF(I43&gt;=85,"B",IF(I43&gt;=75,"C","D")))</f>
        <v/>
      </c>
      <c r="W43">
        <f>ROUND((J43*35)+(I43*0.25)+(U43*0.2)+(IF(Q43&gt;0,100,MAX(0,100+Q43*100))*0.2),2)</f>
        <v/>
      </c>
      <c r="X43" s="2">
        <f>ROUND(T43*N43*IF(V43="A",1.25,IF(V43="B",1.1,IF(V43="C",0.9,0.5))),2)</f>
        <v/>
      </c>
      <c r="Y43">
        <f>IF(OR(I43&lt;80,J43&lt;0.75,E43&lt;D43*0.85),"HIGH",IF(OR(I43&lt;90,J43&lt;0.9),"MEDIUM","LOW"))</f>
        <v/>
      </c>
      <c r="Z43" s="2">
        <f>ROUND(E43*INDEX(Rules!$B$2:$B$6,MATCH(O43,Rules!$A$2:$A$6,0))*INDEX(Rules!$C$2:$C$5,MATCH(V43,Rules!$D$2:$D$5,0)),2)</f>
        <v/>
      </c>
      <c r="AA43" s="2">
        <f>Z43-T43-X43</f>
        <v/>
      </c>
      <c r="AB43" s="3">
        <f>IF(Z43=0,0,AA43/Z43)</f>
        <v/>
      </c>
      <c r="AC43">
        <f>UPPER(LEFT(A43,3)&amp;"-"&amp;LEFT(B43,3)&amp;"-"&amp;TEXT(ROW()-1,"000"))</f>
        <v/>
      </c>
      <c r="AD43">
        <f>INDEX(Rules!$E$2:$E$6,MATCH(O43,Rules!$A$2:$A$6,0))</f>
        <v/>
      </c>
      <c r="AE43" s="2">
        <f>ROUND(AA43*AD43,2)</f>
        <v/>
      </c>
      <c r="AF43">
        <f>RANK(W43,$W$2:$W$181,0)</f>
        <v/>
      </c>
      <c r="AG43">
        <f>IF(AND(AB43&gt;0.18,Y43="LOW"),"PASS",IF(AB43&gt;0.08,"WATCH","FAIL"))</f>
        <v/>
      </c>
      <c r="AH43">
        <f>IFERROR(IF(VLOOKUP(A43,Rules!$G$2:$H$13,2,FALSE)="Priority","Priority Region","Standard Region"),"Standard Region")</f>
        <v/>
      </c>
      <c r="AI43">
        <f>ROUND(SUMPRODUCT(E43:J43,{0.08,0.08,0.15,0.1,0.25,0.34}),2)</f>
        <v/>
      </c>
      <c r="AJ43" s="2">
        <f>ROUND(AE43*INDEX(Rules!$J$2:$J$5,MATCH(MONTH(K43),Rules!$I$2:$I$5,1)),2)</f>
        <v/>
      </c>
    </row>
    <row r="44">
      <c r="A44" t="inlineStr">
        <is>
          <t>Surkhandarya</t>
        </is>
      </c>
      <c r="B44" t="inlineStr">
        <is>
          <t>East-4</t>
        </is>
      </c>
      <c r="C44" t="inlineStr">
        <is>
          <t>Malika Ergasheva</t>
        </is>
      </c>
      <c r="D44" t="n">
        <v>211</v>
      </c>
      <c r="E44" t="n">
        <v>232</v>
      </c>
      <c r="F44" s="2" t="n">
        <v>124</v>
      </c>
      <c r="G44" t="n">
        <v>25</v>
      </c>
      <c r="H44" t="n">
        <v>19</v>
      </c>
      <c r="I44" t="n">
        <v>85</v>
      </c>
      <c r="J44" s="3" t="n">
        <v>1.0995</v>
      </c>
      <c r="K44" s="4" t="inlineStr">
        <is>
          <t>2026-07-01</t>
        </is>
      </c>
      <c r="L44" s="2" t="n">
        <v>96</v>
      </c>
      <c r="M44" s="2" t="n">
        <v>35</v>
      </c>
      <c r="N44" s="3" t="n">
        <v>0.0425</v>
      </c>
      <c r="O44" t="inlineStr">
        <is>
          <t>Tier-4</t>
        </is>
      </c>
      <c r="P44">
        <f>E44-D44</f>
        <v/>
      </c>
      <c r="Q44" s="3">
        <f>IF(D44=0,0,E44/D44-1)</f>
        <v/>
      </c>
      <c r="R44" s="2">
        <f>E44*F44</f>
        <v/>
      </c>
      <c r="S44" s="2">
        <f>H44*(F44*1.5/8)</f>
        <v/>
      </c>
      <c r="T44" s="2">
        <f>R44+S44+L44+M44</f>
        <v/>
      </c>
      <c r="U44">
        <f>IF(G44=0,0,E44/G44)</f>
        <v/>
      </c>
      <c r="V44">
        <f>IF(I44&gt;=95,"A",IF(I44&gt;=85,"B",IF(I44&gt;=75,"C","D")))</f>
        <v/>
      </c>
      <c r="W44">
        <f>ROUND((J44*35)+(I44*0.25)+(U44*0.2)+(IF(Q44&gt;0,100,MAX(0,100+Q44*100))*0.2),2)</f>
        <v/>
      </c>
      <c r="X44" s="2">
        <f>ROUND(T44*N44*IF(V44="A",1.25,IF(V44="B",1.1,IF(V44="C",0.9,0.5))),2)</f>
        <v/>
      </c>
      <c r="Y44">
        <f>IF(OR(I44&lt;80,J44&lt;0.75,E44&lt;D44*0.85),"HIGH",IF(OR(I44&lt;90,J44&lt;0.9),"MEDIUM","LOW"))</f>
        <v/>
      </c>
      <c r="Z44" s="2">
        <f>ROUND(E44*INDEX(Rules!$B$2:$B$6,MATCH(O44,Rules!$A$2:$A$6,0))*INDEX(Rules!$C$2:$C$5,MATCH(V44,Rules!$D$2:$D$5,0)),2)</f>
        <v/>
      </c>
      <c r="AA44" s="2">
        <f>Z44-T44-X44</f>
        <v/>
      </c>
      <c r="AB44" s="3">
        <f>IF(Z44=0,0,AA44/Z44)</f>
        <v/>
      </c>
      <c r="AC44">
        <f>UPPER(LEFT(A44,3)&amp;"-"&amp;LEFT(B44,3)&amp;"-"&amp;TEXT(ROW()-1,"000"))</f>
        <v/>
      </c>
      <c r="AD44">
        <f>INDEX(Rules!$E$2:$E$6,MATCH(O44,Rules!$A$2:$A$6,0))</f>
        <v/>
      </c>
      <c r="AE44" s="2">
        <f>ROUND(AA44*AD44,2)</f>
        <v/>
      </c>
      <c r="AF44">
        <f>RANK(W44,$W$2:$W$181,0)</f>
        <v/>
      </c>
      <c r="AG44">
        <f>IF(AND(AB44&gt;0.18,Y44="LOW"),"PASS",IF(AB44&gt;0.08,"WATCH","FAIL"))</f>
        <v/>
      </c>
      <c r="AH44">
        <f>IFERROR(IF(VLOOKUP(A44,Rules!$G$2:$H$13,2,FALSE)="Priority","Priority Region","Standard Region"),"Standard Region")</f>
        <v/>
      </c>
      <c r="AI44">
        <f>ROUND(SUMPRODUCT(E44:J44,{0.08,0.08,0.15,0.1,0.25,0.34}),2)</f>
        <v/>
      </c>
      <c r="AJ44" s="2">
        <f>ROUND(AE44*INDEX(Rules!$J$2:$J$5,MATCH(MONTH(K44),Rules!$I$2:$I$5,1)),2)</f>
        <v/>
      </c>
    </row>
    <row r="45">
      <c r="A45" t="inlineStr">
        <is>
          <t>Khorezm</t>
        </is>
      </c>
      <c r="B45" t="inlineStr">
        <is>
          <t>West-1</t>
        </is>
      </c>
      <c r="C45" t="inlineStr">
        <is>
          <t>Shahzod Islomov</t>
        </is>
      </c>
      <c r="D45" t="n">
        <v>218</v>
      </c>
      <c r="E45" t="n">
        <v>246</v>
      </c>
      <c r="F45" s="2" t="n">
        <v>133</v>
      </c>
      <c r="G45" t="n">
        <v>26</v>
      </c>
      <c r="H45" t="n">
        <v>0</v>
      </c>
      <c r="I45" t="n">
        <v>90</v>
      </c>
      <c r="J45" s="3" t="n">
        <v>1.1284</v>
      </c>
      <c r="K45" s="4" t="inlineStr">
        <is>
          <t>2026-08-01</t>
        </is>
      </c>
      <c r="L45" s="2" t="n">
        <v>104</v>
      </c>
      <c r="M45" s="2" t="n">
        <v>40</v>
      </c>
      <c r="N45" s="3" t="n">
        <v>0.055</v>
      </c>
      <c r="O45" t="inlineStr">
        <is>
          <t>Tier-5</t>
        </is>
      </c>
      <c r="P45">
        <f>E45-D45</f>
        <v/>
      </c>
      <c r="Q45" s="3">
        <f>IF(D45=0,0,E45/D45-1)</f>
        <v/>
      </c>
      <c r="R45" s="2">
        <f>E45*F45</f>
        <v/>
      </c>
      <c r="S45" s="2">
        <f>H45*(F45*1.5/8)</f>
        <v/>
      </c>
      <c r="T45" s="2">
        <f>R45+S45+L45+M45</f>
        <v/>
      </c>
      <c r="U45">
        <f>IF(G45=0,0,E45/G45)</f>
        <v/>
      </c>
      <c r="V45">
        <f>IF(I45&gt;=95,"A",IF(I45&gt;=85,"B",IF(I45&gt;=75,"C","D")))</f>
        <v/>
      </c>
      <c r="W45">
        <f>ROUND((J45*35)+(I45*0.25)+(U45*0.2)+(IF(Q45&gt;0,100,MAX(0,100+Q45*100))*0.2),2)</f>
        <v/>
      </c>
      <c r="X45" s="2">
        <f>ROUND(T45*N45*IF(V45="A",1.25,IF(V45="B",1.1,IF(V45="C",0.9,0.5))),2)</f>
        <v/>
      </c>
      <c r="Y45">
        <f>IF(OR(I45&lt;80,J45&lt;0.75,E45&lt;D45*0.85),"HIGH",IF(OR(I45&lt;90,J45&lt;0.9),"MEDIUM","LOW"))</f>
        <v/>
      </c>
      <c r="Z45" s="2">
        <f>ROUND(E45*INDEX(Rules!$B$2:$B$6,MATCH(O45,Rules!$A$2:$A$6,0))*INDEX(Rules!$C$2:$C$5,MATCH(V45,Rules!$D$2:$D$5,0)),2)</f>
        <v/>
      </c>
      <c r="AA45" s="2">
        <f>Z45-T45-X45</f>
        <v/>
      </c>
      <c r="AB45" s="3">
        <f>IF(Z45=0,0,AA45/Z45)</f>
        <v/>
      </c>
      <c r="AC45">
        <f>UPPER(LEFT(A45,3)&amp;"-"&amp;LEFT(B45,3)&amp;"-"&amp;TEXT(ROW()-1,"000"))</f>
        <v/>
      </c>
      <c r="AD45">
        <f>INDEX(Rules!$E$2:$E$6,MATCH(O45,Rules!$A$2:$A$6,0))</f>
        <v/>
      </c>
      <c r="AE45" s="2">
        <f>ROUND(AA45*AD45,2)</f>
        <v/>
      </c>
      <c r="AF45">
        <f>RANK(W45,$W$2:$W$181,0)</f>
        <v/>
      </c>
      <c r="AG45">
        <f>IF(AND(AB45&gt;0.18,Y45="LOW"),"PASS",IF(AB45&gt;0.08,"WATCH","FAIL"))</f>
        <v/>
      </c>
      <c r="AH45">
        <f>IFERROR(IF(VLOOKUP(A45,Rules!$G$2:$H$13,2,FALSE)="Priority","Priority Region","Standard Region"),"Standard Region")</f>
        <v/>
      </c>
      <c r="AI45">
        <f>ROUND(SUMPRODUCT(E45:J45,{0.08,0.08,0.15,0.1,0.25,0.34}),2)</f>
        <v/>
      </c>
      <c r="AJ45" s="2">
        <f>ROUND(AE45*INDEX(Rules!$J$2:$J$5,MATCH(MONTH(K45),Rules!$I$2:$I$5,1)),2)</f>
        <v/>
      </c>
    </row>
    <row r="46">
      <c r="A46" t="inlineStr">
        <is>
          <t>Jizzakh</t>
        </is>
      </c>
      <c r="B46" t="inlineStr">
        <is>
          <t>Industrial-2</t>
        </is>
      </c>
      <c r="C46" t="inlineStr">
        <is>
          <t>Nilufar Tursunova</t>
        </is>
      </c>
      <c r="D46" t="n">
        <v>225</v>
      </c>
      <c r="E46" t="n">
        <v>201</v>
      </c>
      <c r="F46" s="2" t="n">
        <v>142</v>
      </c>
      <c r="G46" t="n">
        <v>18</v>
      </c>
      <c r="H46" t="n">
        <v>3</v>
      </c>
      <c r="I46" t="n">
        <v>95</v>
      </c>
      <c r="J46" s="3" t="n">
        <v>0.8933</v>
      </c>
      <c r="K46" s="4" t="inlineStr">
        <is>
          <t>2026-09-01</t>
        </is>
      </c>
      <c r="L46" s="2" t="n">
        <v>112</v>
      </c>
      <c r="M46" s="2" t="n">
        <v>45</v>
      </c>
      <c r="N46" s="3" t="n">
        <v>0.0675</v>
      </c>
      <c r="O46" t="inlineStr">
        <is>
          <t>Tier-1</t>
        </is>
      </c>
      <c r="P46">
        <f>E46-D46</f>
        <v/>
      </c>
      <c r="Q46" s="3">
        <f>IF(D46=0,0,E46/D46-1)</f>
        <v/>
      </c>
      <c r="R46" s="2">
        <f>E46*F46</f>
        <v/>
      </c>
      <c r="S46" s="2">
        <f>H46*(F46*1.5/8)</f>
        <v/>
      </c>
      <c r="T46" s="2">
        <f>R46+S46+L46+M46</f>
        <v/>
      </c>
      <c r="U46">
        <f>IF(G46=0,0,E46/G46)</f>
        <v/>
      </c>
      <c r="V46">
        <f>IF(I46&gt;=95,"A",IF(I46&gt;=85,"B",IF(I46&gt;=75,"C","D")))</f>
        <v/>
      </c>
      <c r="W46">
        <f>ROUND((J46*35)+(I46*0.25)+(U46*0.2)+(IF(Q46&gt;0,100,MAX(0,100+Q46*100))*0.2),2)</f>
        <v/>
      </c>
      <c r="X46" s="2">
        <f>ROUND(T46*N46*IF(V46="A",1.25,IF(V46="B",1.1,IF(V46="C",0.9,0.5))),2)</f>
        <v/>
      </c>
      <c r="Y46">
        <f>IF(OR(I46&lt;80,J46&lt;0.75,E46&lt;D46*0.85),"HIGH",IF(OR(I46&lt;90,J46&lt;0.9),"MEDIUM","LOW"))</f>
        <v/>
      </c>
      <c r="Z46" s="2">
        <f>ROUND(E46*INDEX(Rules!$B$2:$B$6,MATCH(O46,Rules!$A$2:$A$6,0))*INDEX(Rules!$C$2:$C$5,MATCH(V46,Rules!$D$2:$D$5,0)),2)</f>
        <v/>
      </c>
      <c r="AA46" s="2">
        <f>Z46-T46-X46</f>
        <v/>
      </c>
      <c r="AB46" s="3">
        <f>IF(Z46=0,0,AA46/Z46)</f>
        <v/>
      </c>
      <c r="AC46">
        <f>UPPER(LEFT(A46,3)&amp;"-"&amp;LEFT(B46,3)&amp;"-"&amp;TEXT(ROW()-1,"000"))</f>
        <v/>
      </c>
      <c r="AD46">
        <f>INDEX(Rules!$E$2:$E$6,MATCH(O46,Rules!$A$2:$A$6,0))</f>
        <v/>
      </c>
      <c r="AE46" s="2">
        <f>ROUND(AA46*AD46,2)</f>
        <v/>
      </c>
      <c r="AF46">
        <f>RANK(W46,$W$2:$W$181,0)</f>
        <v/>
      </c>
      <c r="AG46">
        <f>IF(AND(AB46&gt;0.18,Y46="LOW"),"PASS",IF(AB46&gt;0.08,"WATCH","FAIL"))</f>
        <v/>
      </c>
      <c r="AH46">
        <f>IFERROR(IF(VLOOKUP(A46,Rules!$G$2:$H$13,2,FALSE)="Priority","Priority Region","Standard Region"),"Standard Region")</f>
        <v/>
      </c>
      <c r="AI46">
        <f>ROUND(SUMPRODUCT(E46:J46,{0.08,0.08,0.15,0.1,0.25,0.34}),2)</f>
        <v/>
      </c>
      <c r="AJ46" s="2">
        <f>ROUND(AE46*INDEX(Rules!$J$2:$J$5,MATCH(MONTH(K46),Rules!$I$2:$I$5,1)),2)</f>
        <v/>
      </c>
    </row>
    <row r="47">
      <c r="A47" t="inlineStr">
        <is>
          <t>Navoi</t>
        </is>
      </c>
      <c r="B47" t="inlineStr">
        <is>
          <t>Rural-3</t>
        </is>
      </c>
      <c r="C47" t="inlineStr">
        <is>
          <t>Sardor Jabborov</t>
        </is>
      </c>
      <c r="D47" t="n">
        <v>232</v>
      </c>
      <c r="E47" t="n">
        <v>215</v>
      </c>
      <c r="F47" s="2" t="n">
        <v>151</v>
      </c>
      <c r="G47" t="n">
        <v>19</v>
      </c>
      <c r="H47" t="n">
        <v>6</v>
      </c>
      <c r="I47" t="n">
        <v>100</v>
      </c>
      <c r="J47" s="3" t="n">
        <v>0.9267</v>
      </c>
      <c r="K47" s="4" t="inlineStr">
        <is>
          <t>2026-10-01</t>
        </is>
      </c>
      <c r="L47" s="2" t="n">
        <v>120</v>
      </c>
      <c r="M47" s="2" t="n">
        <v>50</v>
      </c>
      <c r="N47" s="3" t="n">
        <v>0.08</v>
      </c>
      <c r="O47" t="inlineStr">
        <is>
          <t>Tier-2</t>
        </is>
      </c>
      <c r="P47">
        <f>E47-D47</f>
        <v/>
      </c>
      <c r="Q47" s="3">
        <f>IF(D47=0,0,E47/D47-1)</f>
        <v/>
      </c>
      <c r="R47" s="2">
        <f>E47*F47</f>
        <v/>
      </c>
      <c r="S47" s="2">
        <f>H47*(F47*1.5/8)</f>
        <v/>
      </c>
      <c r="T47" s="2">
        <f>R47+S47+L47+M47</f>
        <v/>
      </c>
      <c r="U47">
        <f>IF(G47=0,0,E47/G47)</f>
        <v/>
      </c>
      <c r="V47">
        <f>IF(I47&gt;=95,"A",IF(I47&gt;=85,"B",IF(I47&gt;=75,"C","D")))</f>
        <v/>
      </c>
      <c r="W47">
        <f>ROUND((J47*35)+(I47*0.25)+(U47*0.2)+(IF(Q47&gt;0,100,MAX(0,100+Q47*100))*0.2),2)</f>
        <v/>
      </c>
      <c r="X47" s="2">
        <f>ROUND(T47*N47*IF(V47="A",1.25,IF(V47="B",1.1,IF(V47="C",0.9,0.5))),2)</f>
        <v/>
      </c>
      <c r="Y47">
        <f>IF(OR(I47&lt;80,J47&lt;0.75,E47&lt;D47*0.85),"HIGH",IF(OR(I47&lt;90,J47&lt;0.9),"MEDIUM","LOW"))</f>
        <v/>
      </c>
      <c r="Z47" s="2">
        <f>ROUND(E47*INDEX(Rules!$B$2:$B$6,MATCH(O47,Rules!$A$2:$A$6,0))*INDEX(Rules!$C$2:$C$5,MATCH(V47,Rules!$D$2:$D$5,0)),2)</f>
        <v/>
      </c>
      <c r="AA47" s="2">
        <f>Z47-T47-X47</f>
        <v/>
      </c>
      <c r="AB47" s="3">
        <f>IF(Z47=0,0,AA47/Z47)</f>
        <v/>
      </c>
      <c r="AC47">
        <f>UPPER(LEFT(A47,3)&amp;"-"&amp;LEFT(B47,3)&amp;"-"&amp;TEXT(ROW()-1,"000"))</f>
        <v/>
      </c>
      <c r="AD47">
        <f>INDEX(Rules!$E$2:$E$6,MATCH(O47,Rules!$A$2:$A$6,0))</f>
        <v/>
      </c>
      <c r="AE47" s="2">
        <f>ROUND(AA47*AD47,2)</f>
        <v/>
      </c>
      <c r="AF47">
        <f>RANK(W47,$W$2:$W$181,0)</f>
        <v/>
      </c>
      <c r="AG47">
        <f>IF(AND(AB47&gt;0.18,Y47="LOW"),"PASS",IF(AB47&gt;0.08,"WATCH","FAIL"))</f>
        <v/>
      </c>
      <c r="AH47">
        <f>IFERROR(IF(VLOOKUP(A47,Rules!$G$2:$H$13,2,FALSE)="Priority","Priority Region","Standard Region"),"Standard Region")</f>
        <v/>
      </c>
      <c r="AI47">
        <f>ROUND(SUMPRODUCT(E47:J47,{0.08,0.08,0.15,0.1,0.25,0.34}),2)</f>
        <v/>
      </c>
      <c r="AJ47" s="2">
        <f>ROUND(AE47*INDEX(Rules!$J$2:$J$5,MATCH(MONTH(K47),Rules!$I$2:$I$5,1)),2)</f>
        <v/>
      </c>
    </row>
    <row r="48">
      <c r="A48" t="inlineStr">
        <is>
          <t>Syrdarya</t>
        </is>
      </c>
      <c r="B48" t="inlineStr">
        <is>
          <t>Urban-4</t>
        </is>
      </c>
      <c r="C48" t="inlineStr">
        <is>
          <t>Kamola Rahimova</t>
        </is>
      </c>
      <c r="D48" t="n">
        <v>239</v>
      </c>
      <c r="E48" t="n">
        <v>229</v>
      </c>
      <c r="F48" s="2" t="n">
        <v>160</v>
      </c>
      <c r="G48" t="n">
        <v>20</v>
      </c>
      <c r="H48" t="n">
        <v>9</v>
      </c>
      <c r="I48" t="n">
        <v>72</v>
      </c>
      <c r="J48" s="3" t="n">
        <v>0.9582000000000001</v>
      </c>
      <c r="K48" s="4" t="inlineStr">
        <is>
          <t>2026-11-01</t>
        </is>
      </c>
      <c r="L48" s="2" t="n">
        <v>128</v>
      </c>
      <c r="M48" s="2" t="n">
        <v>55</v>
      </c>
      <c r="N48" s="3" t="n">
        <v>0.0925</v>
      </c>
      <c r="O48" t="inlineStr">
        <is>
          <t>Tier-3</t>
        </is>
      </c>
      <c r="P48">
        <f>E48-D48</f>
        <v/>
      </c>
      <c r="Q48" s="3">
        <f>IF(D48=0,0,E48/D48-1)</f>
        <v/>
      </c>
      <c r="R48" s="2">
        <f>E48*F48</f>
        <v/>
      </c>
      <c r="S48" s="2">
        <f>H48*(F48*1.5/8)</f>
        <v/>
      </c>
      <c r="T48" s="2">
        <f>R48+S48+L48+M48</f>
        <v/>
      </c>
      <c r="U48">
        <f>IF(G48=0,0,E48/G48)</f>
        <v/>
      </c>
      <c r="V48">
        <f>IF(I48&gt;=95,"A",IF(I48&gt;=85,"B",IF(I48&gt;=75,"C","D")))</f>
        <v/>
      </c>
      <c r="W48">
        <f>ROUND((J48*35)+(I48*0.25)+(U48*0.2)+(IF(Q48&gt;0,100,MAX(0,100+Q48*100))*0.2),2)</f>
        <v/>
      </c>
      <c r="X48" s="2">
        <f>ROUND(T48*N48*IF(V48="A",1.25,IF(V48="B",1.1,IF(V48="C",0.9,0.5))),2)</f>
        <v/>
      </c>
      <c r="Y48">
        <f>IF(OR(I48&lt;80,J48&lt;0.75,E48&lt;D48*0.85),"HIGH",IF(OR(I48&lt;90,J48&lt;0.9),"MEDIUM","LOW"))</f>
        <v/>
      </c>
      <c r="Z48" s="2">
        <f>ROUND(E48*INDEX(Rules!$B$2:$B$6,MATCH(O48,Rules!$A$2:$A$6,0))*INDEX(Rules!$C$2:$C$5,MATCH(V48,Rules!$D$2:$D$5,0)),2)</f>
        <v/>
      </c>
      <c r="AA48" s="2">
        <f>Z48-T48-X48</f>
        <v/>
      </c>
      <c r="AB48" s="3">
        <f>IF(Z48=0,0,AA48/Z48)</f>
        <v/>
      </c>
      <c r="AC48">
        <f>UPPER(LEFT(A48,3)&amp;"-"&amp;LEFT(B48,3)&amp;"-"&amp;TEXT(ROW()-1,"000"))</f>
        <v/>
      </c>
      <c r="AD48">
        <f>INDEX(Rules!$E$2:$E$6,MATCH(O48,Rules!$A$2:$A$6,0))</f>
        <v/>
      </c>
      <c r="AE48" s="2">
        <f>ROUND(AA48*AD48,2)</f>
        <v/>
      </c>
      <c r="AF48">
        <f>RANK(W48,$W$2:$W$181,0)</f>
        <v/>
      </c>
      <c r="AG48">
        <f>IF(AND(AB48&gt;0.18,Y48="LOW"),"PASS",IF(AB48&gt;0.08,"WATCH","FAIL"))</f>
        <v/>
      </c>
      <c r="AH48">
        <f>IFERROR(IF(VLOOKUP(A48,Rules!$G$2:$H$13,2,FALSE)="Priority","Priority Region","Standard Region"),"Standard Region")</f>
        <v/>
      </c>
      <c r="AI48">
        <f>ROUND(SUMPRODUCT(E48:J48,{0.08,0.08,0.15,0.1,0.25,0.34}),2)</f>
        <v/>
      </c>
      <c r="AJ48" s="2">
        <f>ROUND(AE48*INDEX(Rules!$J$2:$J$5,MATCH(MONTH(K48),Rules!$I$2:$I$5,1)),2)</f>
        <v/>
      </c>
    </row>
    <row r="49">
      <c r="A49" t="inlineStr">
        <is>
          <t>Tashkent</t>
        </is>
      </c>
      <c r="B49" t="inlineStr">
        <is>
          <t>Central-1</t>
        </is>
      </c>
      <c r="C49" t="inlineStr">
        <is>
          <t>Aziza Karimova</t>
        </is>
      </c>
      <c r="D49" t="n">
        <v>246</v>
      </c>
      <c r="E49" t="n">
        <v>243</v>
      </c>
      <c r="F49" s="2" t="n">
        <v>169</v>
      </c>
      <c r="G49" t="n">
        <v>21</v>
      </c>
      <c r="H49" t="n">
        <v>12</v>
      </c>
      <c r="I49" t="n">
        <v>77</v>
      </c>
      <c r="J49" s="3" t="n">
        <v>0.9878</v>
      </c>
      <c r="K49" s="4" t="inlineStr">
        <is>
          <t>2026-12-01</t>
        </is>
      </c>
      <c r="L49" s="2" t="n">
        <v>40</v>
      </c>
      <c r="M49" s="2" t="n">
        <v>60</v>
      </c>
      <c r="N49" s="3" t="n">
        <v>0.03</v>
      </c>
      <c r="O49" t="inlineStr">
        <is>
          <t>Tier-4</t>
        </is>
      </c>
      <c r="P49">
        <f>E49-D49</f>
        <v/>
      </c>
      <c r="Q49" s="3">
        <f>IF(D49=0,0,E49/D49-1)</f>
        <v/>
      </c>
      <c r="R49" s="2">
        <f>E49*F49</f>
        <v/>
      </c>
      <c r="S49" s="2">
        <f>H49*(F49*1.5/8)</f>
        <v/>
      </c>
      <c r="T49" s="2">
        <f>R49+S49+L49+M49</f>
        <v/>
      </c>
      <c r="U49">
        <f>IF(G49=0,0,E49/G49)</f>
        <v/>
      </c>
      <c r="V49">
        <f>IF(I49&gt;=95,"A",IF(I49&gt;=85,"B",IF(I49&gt;=75,"C","D")))</f>
        <v/>
      </c>
      <c r="W49">
        <f>ROUND((J49*35)+(I49*0.25)+(U49*0.2)+(IF(Q49&gt;0,100,MAX(0,100+Q49*100))*0.2),2)</f>
        <v/>
      </c>
      <c r="X49" s="2">
        <f>ROUND(T49*N49*IF(V49="A",1.25,IF(V49="B",1.1,IF(V49="C",0.9,0.5))),2)</f>
        <v/>
      </c>
      <c r="Y49">
        <f>IF(OR(I49&lt;80,J49&lt;0.75,E49&lt;D49*0.85),"HIGH",IF(OR(I49&lt;90,J49&lt;0.9),"MEDIUM","LOW"))</f>
        <v/>
      </c>
      <c r="Z49" s="2">
        <f>ROUND(E49*INDEX(Rules!$B$2:$B$6,MATCH(O49,Rules!$A$2:$A$6,0))*INDEX(Rules!$C$2:$C$5,MATCH(V49,Rules!$D$2:$D$5,0)),2)</f>
        <v/>
      </c>
      <c r="AA49" s="2">
        <f>Z49-T49-X49</f>
        <v/>
      </c>
      <c r="AB49" s="3">
        <f>IF(Z49=0,0,AA49/Z49)</f>
        <v/>
      </c>
      <c r="AC49">
        <f>UPPER(LEFT(A49,3)&amp;"-"&amp;LEFT(B49,3)&amp;"-"&amp;TEXT(ROW()-1,"000"))</f>
        <v/>
      </c>
      <c r="AD49">
        <f>INDEX(Rules!$E$2:$E$6,MATCH(O49,Rules!$A$2:$A$6,0))</f>
        <v/>
      </c>
      <c r="AE49" s="2">
        <f>ROUND(AA49*AD49,2)</f>
        <v/>
      </c>
      <c r="AF49">
        <f>RANK(W49,$W$2:$W$181,0)</f>
        <v/>
      </c>
      <c r="AG49">
        <f>IF(AND(AB49&gt;0.18,Y49="LOW"),"PASS",IF(AB49&gt;0.08,"WATCH","FAIL"))</f>
        <v/>
      </c>
      <c r="AH49">
        <f>IFERROR(IF(VLOOKUP(A49,Rules!$G$2:$H$13,2,FALSE)="Priority","Priority Region","Standard Region"),"Standard Region")</f>
        <v/>
      </c>
      <c r="AI49">
        <f>ROUND(SUMPRODUCT(E49:J49,{0.08,0.08,0.15,0.1,0.25,0.34}),2)</f>
        <v/>
      </c>
      <c r="AJ49" s="2">
        <f>ROUND(AE49*INDEX(Rules!$J$2:$J$5,MATCH(MONTH(K49),Rules!$I$2:$I$5,1)),2)</f>
        <v/>
      </c>
    </row>
    <row r="50">
      <c r="A50" t="inlineStr">
        <is>
          <t>Samarkand</t>
        </is>
      </c>
      <c r="B50" t="inlineStr">
        <is>
          <t>North-2</t>
        </is>
      </c>
      <c r="C50" t="inlineStr">
        <is>
          <t>Bekzod Aliyev</t>
        </is>
      </c>
      <c r="D50" t="n">
        <v>83</v>
      </c>
      <c r="E50" t="n">
        <v>87</v>
      </c>
      <c r="F50" s="2" t="n">
        <v>178</v>
      </c>
      <c r="G50" t="n">
        <v>22</v>
      </c>
      <c r="H50" t="n">
        <v>15</v>
      </c>
      <c r="I50" t="n">
        <v>82</v>
      </c>
      <c r="J50" s="3" t="n">
        <v>1.0482</v>
      </c>
      <c r="K50" s="4" t="inlineStr">
        <is>
          <t>2026-01-01</t>
        </is>
      </c>
      <c r="L50" s="2" t="n">
        <v>48</v>
      </c>
      <c r="M50" s="2" t="n">
        <v>65</v>
      </c>
      <c r="N50" s="3" t="n">
        <v>0.0425</v>
      </c>
      <c r="O50" t="inlineStr">
        <is>
          <t>Tier-5</t>
        </is>
      </c>
      <c r="P50">
        <f>E50-D50</f>
        <v/>
      </c>
      <c r="Q50" s="3">
        <f>IF(D50=0,0,E50/D50-1)</f>
        <v/>
      </c>
      <c r="R50" s="2">
        <f>E50*F50</f>
        <v/>
      </c>
      <c r="S50" s="2">
        <f>H50*(F50*1.5/8)</f>
        <v/>
      </c>
      <c r="T50" s="2">
        <f>R50+S50+L50+M50</f>
        <v/>
      </c>
      <c r="U50">
        <f>IF(G50=0,0,E50/G50)</f>
        <v/>
      </c>
      <c r="V50">
        <f>IF(I50&gt;=95,"A",IF(I50&gt;=85,"B",IF(I50&gt;=75,"C","D")))</f>
        <v/>
      </c>
      <c r="W50">
        <f>ROUND((J50*35)+(I50*0.25)+(U50*0.2)+(IF(Q50&gt;0,100,MAX(0,100+Q50*100))*0.2),2)</f>
        <v/>
      </c>
      <c r="X50" s="2">
        <f>ROUND(T50*N50*IF(V50="A",1.25,IF(V50="B",1.1,IF(V50="C",0.9,0.5))),2)</f>
        <v/>
      </c>
      <c r="Y50">
        <f>IF(OR(I50&lt;80,J50&lt;0.75,E50&lt;D50*0.85),"HIGH",IF(OR(I50&lt;90,J50&lt;0.9),"MEDIUM","LOW"))</f>
        <v/>
      </c>
      <c r="Z50" s="2">
        <f>ROUND(E50*INDEX(Rules!$B$2:$B$6,MATCH(O50,Rules!$A$2:$A$6,0))*INDEX(Rules!$C$2:$C$5,MATCH(V50,Rules!$D$2:$D$5,0)),2)</f>
        <v/>
      </c>
      <c r="AA50" s="2">
        <f>Z50-T50-X50</f>
        <v/>
      </c>
      <c r="AB50" s="3">
        <f>IF(Z50=0,0,AA50/Z50)</f>
        <v/>
      </c>
      <c r="AC50">
        <f>UPPER(LEFT(A50,3)&amp;"-"&amp;LEFT(B50,3)&amp;"-"&amp;TEXT(ROW()-1,"000"))</f>
        <v/>
      </c>
      <c r="AD50">
        <f>INDEX(Rules!$E$2:$E$6,MATCH(O50,Rules!$A$2:$A$6,0))</f>
        <v/>
      </c>
      <c r="AE50" s="2">
        <f>ROUND(AA50*AD50,2)</f>
        <v/>
      </c>
      <c r="AF50">
        <f>RANK(W50,$W$2:$W$181,0)</f>
        <v/>
      </c>
      <c r="AG50">
        <f>IF(AND(AB50&gt;0.18,Y50="LOW"),"PASS",IF(AB50&gt;0.08,"WATCH","FAIL"))</f>
        <v/>
      </c>
      <c r="AH50">
        <f>IFERROR(IF(VLOOKUP(A50,Rules!$G$2:$H$13,2,FALSE)="Priority","Priority Region","Standard Region"),"Standard Region")</f>
        <v/>
      </c>
      <c r="AI50">
        <f>ROUND(SUMPRODUCT(E50:J50,{0.08,0.08,0.15,0.1,0.25,0.34}),2)</f>
        <v/>
      </c>
      <c r="AJ50" s="2">
        <f>ROUND(AE50*INDEX(Rules!$J$2:$J$5,MATCH(MONTH(K50),Rules!$I$2:$I$5,1)),2)</f>
        <v/>
      </c>
    </row>
    <row r="51">
      <c r="A51" t="inlineStr">
        <is>
          <t>Bukhara</t>
        </is>
      </c>
      <c r="B51" t="inlineStr">
        <is>
          <t>South-3</t>
        </is>
      </c>
      <c r="C51" t="inlineStr">
        <is>
          <t>Dilshod Rustamov</t>
        </is>
      </c>
      <c r="D51" t="n">
        <v>90</v>
      </c>
      <c r="E51" t="n">
        <v>96</v>
      </c>
      <c r="F51" s="2" t="n">
        <v>187</v>
      </c>
      <c r="G51" t="n">
        <v>23</v>
      </c>
      <c r="H51" t="n">
        <v>18</v>
      </c>
      <c r="I51" t="n">
        <v>87</v>
      </c>
      <c r="J51" s="3" t="n">
        <v>1.0667</v>
      </c>
      <c r="K51" s="4" t="inlineStr">
        <is>
          <t>2026-02-01</t>
        </is>
      </c>
      <c r="L51" s="2" t="n">
        <v>56</v>
      </c>
      <c r="M51" s="2" t="n">
        <v>20</v>
      </c>
      <c r="N51" s="3" t="n">
        <v>0.055</v>
      </c>
      <c r="O51" t="inlineStr">
        <is>
          <t>Tier-1</t>
        </is>
      </c>
      <c r="P51">
        <f>E51-D51</f>
        <v/>
      </c>
      <c r="Q51" s="3">
        <f>IF(D51=0,0,E51/D51-1)</f>
        <v/>
      </c>
      <c r="R51" s="2">
        <f>E51*F51</f>
        <v/>
      </c>
      <c r="S51" s="2">
        <f>H51*(F51*1.5/8)</f>
        <v/>
      </c>
      <c r="T51" s="2">
        <f>R51+S51+L51+M51</f>
        <v/>
      </c>
      <c r="U51">
        <f>IF(G51=0,0,E51/G51)</f>
        <v/>
      </c>
      <c r="V51">
        <f>IF(I51&gt;=95,"A",IF(I51&gt;=85,"B",IF(I51&gt;=75,"C","D")))</f>
        <v/>
      </c>
      <c r="W51">
        <f>ROUND((J51*35)+(I51*0.25)+(U51*0.2)+(IF(Q51&gt;0,100,MAX(0,100+Q51*100))*0.2),2)</f>
        <v/>
      </c>
      <c r="X51" s="2">
        <f>ROUND(T51*N51*IF(V51="A",1.25,IF(V51="B",1.1,IF(V51="C",0.9,0.5))),2)</f>
        <v/>
      </c>
      <c r="Y51">
        <f>IF(OR(I51&lt;80,J51&lt;0.75,E51&lt;D51*0.85),"HIGH",IF(OR(I51&lt;90,J51&lt;0.9),"MEDIUM","LOW"))</f>
        <v/>
      </c>
      <c r="Z51" s="2">
        <f>ROUND(E51*INDEX(Rules!$B$2:$B$6,MATCH(O51,Rules!$A$2:$A$6,0))*INDEX(Rules!$C$2:$C$5,MATCH(V51,Rules!$D$2:$D$5,0)),2)</f>
        <v/>
      </c>
      <c r="AA51" s="2">
        <f>Z51-T51-X51</f>
        <v/>
      </c>
      <c r="AB51" s="3">
        <f>IF(Z51=0,0,AA51/Z51)</f>
        <v/>
      </c>
      <c r="AC51">
        <f>UPPER(LEFT(A51,3)&amp;"-"&amp;LEFT(B51,3)&amp;"-"&amp;TEXT(ROW()-1,"000"))</f>
        <v/>
      </c>
      <c r="AD51">
        <f>INDEX(Rules!$E$2:$E$6,MATCH(O51,Rules!$A$2:$A$6,0))</f>
        <v/>
      </c>
      <c r="AE51" s="2">
        <f>ROUND(AA51*AD51,2)</f>
        <v/>
      </c>
      <c r="AF51">
        <f>RANK(W51,$W$2:$W$181,0)</f>
        <v/>
      </c>
      <c r="AG51">
        <f>IF(AND(AB51&gt;0.18,Y51="LOW"),"PASS",IF(AB51&gt;0.08,"WATCH","FAIL"))</f>
        <v/>
      </c>
      <c r="AH51">
        <f>IFERROR(IF(VLOOKUP(A51,Rules!$G$2:$H$13,2,FALSE)="Priority","Priority Region","Standard Region"),"Standard Region")</f>
        <v/>
      </c>
      <c r="AI51">
        <f>ROUND(SUMPRODUCT(E51:J51,{0.08,0.08,0.15,0.1,0.25,0.34}),2)</f>
        <v/>
      </c>
      <c r="AJ51" s="2">
        <f>ROUND(AE51*INDEX(Rules!$J$2:$J$5,MATCH(MONTH(K51),Rules!$I$2:$I$5,1)),2)</f>
        <v/>
      </c>
    </row>
    <row r="52">
      <c r="A52" t="inlineStr">
        <is>
          <t>Andijan</t>
        </is>
      </c>
      <c r="B52" t="inlineStr">
        <is>
          <t>East-4</t>
        </is>
      </c>
      <c r="C52" t="inlineStr">
        <is>
          <t>Malika Ergasheva</t>
        </is>
      </c>
      <c r="D52" t="n">
        <v>97</v>
      </c>
      <c r="E52" t="n">
        <v>110</v>
      </c>
      <c r="F52" s="2" t="n">
        <v>196</v>
      </c>
      <c r="G52" t="n">
        <v>24</v>
      </c>
      <c r="H52" t="n">
        <v>21</v>
      </c>
      <c r="I52" t="n">
        <v>92</v>
      </c>
      <c r="J52" s="3" t="n">
        <v>1.134</v>
      </c>
      <c r="K52" s="4" t="inlineStr">
        <is>
          <t>2026-03-01</t>
        </is>
      </c>
      <c r="L52" s="2" t="n">
        <v>64</v>
      </c>
      <c r="M52" s="2" t="n">
        <v>25</v>
      </c>
      <c r="N52" s="3" t="n">
        <v>0.0675</v>
      </c>
      <c r="O52" t="inlineStr">
        <is>
          <t>Tier-2</t>
        </is>
      </c>
      <c r="P52">
        <f>E52-D52</f>
        <v/>
      </c>
      <c r="Q52" s="3">
        <f>IF(D52=0,0,E52/D52-1)</f>
        <v/>
      </c>
      <c r="R52" s="2">
        <f>E52*F52</f>
        <v/>
      </c>
      <c r="S52" s="2">
        <f>H52*(F52*1.5/8)</f>
        <v/>
      </c>
      <c r="T52" s="2">
        <f>R52+S52+L52+M52</f>
        <v/>
      </c>
      <c r="U52">
        <f>IF(G52=0,0,E52/G52)</f>
        <v/>
      </c>
      <c r="V52">
        <f>IF(I52&gt;=95,"A",IF(I52&gt;=85,"B",IF(I52&gt;=75,"C","D")))</f>
        <v/>
      </c>
      <c r="W52">
        <f>ROUND((J52*35)+(I52*0.25)+(U52*0.2)+(IF(Q52&gt;0,100,MAX(0,100+Q52*100))*0.2),2)</f>
        <v/>
      </c>
      <c r="X52" s="2">
        <f>ROUND(T52*N52*IF(V52="A",1.25,IF(V52="B",1.1,IF(V52="C",0.9,0.5))),2)</f>
        <v/>
      </c>
      <c r="Y52">
        <f>IF(OR(I52&lt;80,J52&lt;0.75,E52&lt;D52*0.85),"HIGH",IF(OR(I52&lt;90,J52&lt;0.9),"MEDIUM","LOW"))</f>
        <v/>
      </c>
      <c r="Z52" s="2">
        <f>ROUND(E52*INDEX(Rules!$B$2:$B$6,MATCH(O52,Rules!$A$2:$A$6,0))*INDEX(Rules!$C$2:$C$5,MATCH(V52,Rules!$D$2:$D$5,0)),2)</f>
        <v/>
      </c>
      <c r="AA52" s="2">
        <f>Z52-T52-X52</f>
        <v/>
      </c>
      <c r="AB52" s="3">
        <f>IF(Z52=0,0,AA52/Z52)</f>
        <v/>
      </c>
      <c r="AC52">
        <f>UPPER(LEFT(A52,3)&amp;"-"&amp;LEFT(B52,3)&amp;"-"&amp;TEXT(ROW()-1,"000"))</f>
        <v/>
      </c>
      <c r="AD52">
        <f>INDEX(Rules!$E$2:$E$6,MATCH(O52,Rules!$A$2:$A$6,0))</f>
        <v/>
      </c>
      <c r="AE52" s="2">
        <f>ROUND(AA52*AD52,2)</f>
        <v/>
      </c>
      <c r="AF52">
        <f>RANK(W52,$W$2:$W$181,0)</f>
        <v/>
      </c>
      <c r="AG52">
        <f>IF(AND(AB52&gt;0.18,Y52="LOW"),"PASS",IF(AB52&gt;0.08,"WATCH","FAIL"))</f>
        <v/>
      </c>
      <c r="AH52">
        <f>IFERROR(IF(VLOOKUP(A52,Rules!$G$2:$H$13,2,FALSE)="Priority","Priority Region","Standard Region"),"Standard Region")</f>
        <v/>
      </c>
      <c r="AI52">
        <f>ROUND(SUMPRODUCT(E52:J52,{0.08,0.08,0.15,0.1,0.25,0.34}),2)</f>
        <v/>
      </c>
      <c r="AJ52" s="2">
        <f>ROUND(AE52*INDEX(Rules!$J$2:$J$5,MATCH(MONTH(K52),Rules!$I$2:$I$5,1)),2)</f>
        <v/>
      </c>
    </row>
    <row r="53">
      <c r="A53" t="inlineStr">
        <is>
          <t>Namangan</t>
        </is>
      </c>
      <c r="B53" t="inlineStr">
        <is>
          <t>West-1</t>
        </is>
      </c>
      <c r="C53" t="inlineStr">
        <is>
          <t>Shahzod Islomov</t>
        </is>
      </c>
      <c r="D53" t="n">
        <v>104</v>
      </c>
      <c r="E53" t="n">
        <v>124</v>
      </c>
      <c r="F53" s="2" t="n">
        <v>205</v>
      </c>
      <c r="G53" t="n">
        <v>25</v>
      </c>
      <c r="H53" t="n">
        <v>2</v>
      </c>
      <c r="I53" t="n">
        <v>97</v>
      </c>
      <c r="J53" s="3" t="n">
        <v>1.1923</v>
      </c>
      <c r="K53" s="4" t="inlineStr">
        <is>
          <t>2026-04-01</t>
        </is>
      </c>
      <c r="L53" s="2" t="n">
        <v>72</v>
      </c>
      <c r="M53" s="2" t="n">
        <v>30</v>
      </c>
      <c r="N53" s="3" t="n">
        <v>0.08</v>
      </c>
      <c r="O53" t="inlineStr">
        <is>
          <t>Tier-3</t>
        </is>
      </c>
      <c r="P53">
        <f>E53-D53</f>
        <v/>
      </c>
      <c r="Q53" s="3">
        <f>IF(D53=0,0,E53/D53-1)</f>
        <v/>
      </c>
      <c r="R53" s="2">
        <f>E53*F53</f>
        <v/>
      </c>
      <c r="S53" s="2">
        <f>H53*(F53*1.5/8)</f>
        <v/>
      </c>
      <c r="T53" s="2">
        <f>R53+S53+L53+M53</f>
        <v/>
      </c>
      <c r="U53">
        <f>IF(G53=0,0,E53/G53)</f>
        <v/>
      </c>
      <c r="V53">
        <f>IF(I53&gt;=95,"A",IF(I53&gt;=85,"B",IF(I53&gt;=75,"C","D")))</f>
        <v/>
      </c>
      <c r="W53">
        <f>ROUND((J53*35)+(I53*0.25)+(U53*0.2)+(IF(Q53&gt;0,100,MAX(0,100+Q53*100))*0.2),2)</f>
        <v/>
      </c>
      <c r="X53" s="2">
        <f>ROUND(T53*N53*IF(V53="A",1.25,IF(V53="B",1.1,IF(V53="C",0.9,0.5))),2)</f>
        <v/>
      </c>
      <c r="Y53">
        <f>IF(OR(I53&lt;80,J53&lt;0.75,E53&lt;D53*0.85),"HIGH",IF(OR(I53&lt;90,J53&lt;0.9),"MEDIUM","LOW"))</f>
        <v/>
      </c>
      <c r="Z53" s="2">
        <f>ROUND(E53*INDEX(Rules!$B$2:$B$6,MATCH(O53,Rules!$A$2:$A$6,0))*INDEX(Rules!$C$2:$C$5,MATCH(V53,Rules!$D$2:$D$5,0)),2)</f>
        <v/>
      </c>
      <c r="AA53" s="2">
        <f>Z53-T53-X53</f>
        <v/>
      </c>
      <c r="AB53" s="3">
        <f>IF(Z53=0,0,AA53/Z53)</f>
        <v/>
      </c>
      <c r="AC53">
        <f>UPPER(LEFT(A53,3)&amp;"-"&amp;LEFT(B53,3)&amp;"-"&amp;TEXT(ROW()-1,"000"))</f>
        <v/>
      </c>
      <c r="AD53">
        <f>INDEX(Rules!$E$2:$E$6,MATCH(O53,Rules!$A$2:$A$6,0))</f>
        <v/>
      </c>
      <c r="AE53" s="2">
        <f>ROUND(AA53*AD53,2)</f>
        <v/>
      </c>
      <c r="AF53">
        <f>RANK(W53,$W$2:$W$181,0)</f>
        <v/>
      </c>
      <c r="AG53">
        <f>IF(AND(AB53&gt;0.18,Y53="LOW"),"PASS",IF(AB53&gt;0.08,"WATCH","FAIL"))</f>
        <v/>
      </c>
      <c r="AH53">
        <f>IFERROR(IF(VLOOKUP(A53,Rules!$G$2:$H$13,2,FALSE)="Priority","Priority Region","Standard Region"),"Standard Region")</f>
        <v/>
      </c>
      <c r="AI53">
        <f>ROUND(SUMPRODUCT(E53:J53,{0.08,0.08,0.15,0.1,0.25,0.34}),2)</f>
        <v/>
      </c>
      <c r="AJ53" s="2">
        <f>ROUND(AE53*INDEX(Rules!$J$2:$J$5,MATCH(MONTH(K53),Rules!$I$2:$I$5,1)),2)</f>
        <v/>
      </c>
    </row>
    <row r="54">
      <c r="A54" t="inlineStr">
        <is>
          <t>Fergana</t>
        </is>
      </c>
      <c r="B54" t="inlineStr">
        <is>
          <t>Industrial-2</t>
        </is>
      </c>
      <c r="C54" t="inlineStr">
        <is>
          <t>Nilufar Tursunova</t>
        </is>
      </c>
      <c r="D54" t="n">
        <v>111</v>
      </c>
      <c r="E54" t="n">
        <v>138</v>
      </c>
      <c r="F54" s="2" t="n">
        <v>214</v>
      </c>
      <c r="G54" t="n">
        <v>26</v>
      </c>
      <c r="H54" t="n">
        <v>5</v>
      </c>
      <c r="I54" t="n">
        <v>69</v>
      </c>
      <c r="J54" s="3" t="n">
        <v>1.2432</v>
      </c>
      <c r="K54" s="4" t="inlineStr">
        <is>
          <t>2026-05-01</t>
        </is>
      </c>
      <c r="L54" s="2" t="n">
        <v>80</v>
      </c>
      <c r="M54" s="2" t="n">
        <v>35</v>
      </c>
      <c r="N54" s="3" t="n">
        <v>0.0925</v>
      </c>
      <c r="O54" t="inlineStr">
        <is>
          <t>Tier-4</t>
        </is>
      </c>
      <c r="P54">
        <f>E54-D54</f>
        <v/>
      </c>
      <c r="Q54" s="3">
        <f>IF(D54=0,0,E54/D54-1)</f>
        <v/>
      </c>
      <c r="R54" s="2">
        <f>E54*F54</f>
        <v/>
      </c>
      <c r="S54" s="2">
        <f>H54*(F54*1.5/8)</f>
        <v/>
      </c>
      <c r="T54" s="2">
        <f>R54+S54+L54+M54</f>
        <v/>
      </c>
      <c r="U54">
        <f>IF(G54=0,0,E54/G54)</f>
        <v/>
      </c>
      <c r="V54">
        <f>IF(I54&gt;=95,"A",IF(I54&gt;=85,"B",IF(I54&gt;=75,"C","D")))</f>
        <v/>
      </c>
      <c r="W54">
        <f>ROUND((J54*35)+(I54*0.25)+(U54*0.2)+(IF(Q54&gt;0,100,MAX(0,100+Q54*100))*0.2),2)</f>
        <v/>
      </c>
      <c r="X54" s="2">
        <f>ROUND(T54*N54*IF(V54="A",1.25,IF(V54="B",1.1,IF(V54="C",0.9,0.5))),2)</f>
        <v/>
      </c>
      <c r="Y54">
        <f>IF(OR(I54&lt;80,J54&lt;0.75,E54&lt;D54*0.85),"HIGH",IF(OR(I54&lt;90,J54&lt;0.9),"MEDIUM","LOW"))</f>
        <v/>
      </c>
      <c r="Z54" s="2">
        <f>ROUND(E54*INDEX(Rules!$B$2:$B$6,MATCH(O54,Rules!$A$2:$A$6,0))*INDEX(Rules!$C$2:$C$5,MATCH(V54,Rules!$D$2:$D$5,0)),2)</f>
        <v/>
      </c>
      <c r="AA54" s="2">
        <f>Z54-T54-X54</f>
        <v/>
      </c>
      <c r="AB54" s="3">
        <f>IF(Z54=0,0,AA54/Z54)</f>
        <v/>
      </c>
      <c r="AC54">
        <f>UPPER(LEFT(A54,3)&amp;"-"&amp;LEFT(B54,3)&amp;"-"&amp;TEXT(ROW()-1,"000"))</f>
        <v/>
      </c>
      <c r="AD54">
        <f>INDEX(Rules!$E$2:$E$6,MATCH(O54,Rules!$A$2:$A$6,0))</f>
        <v/>
      </c>
      <c r="AE54" s="2">
        <f>ROUND(AA54*AD54,2)</f>
        <v/>
      </c>
      <c r="AF54">
        <f>RANK(W54,$W$2:$W$181,0)</f>
        <v/>
      </c>
      <c r="AG54">
        <f>IF(AND(AB54&gt;0.18,Y54="LOW"),"PASS",IF(AB54&gt;0.08,"WATCH","FAIL"))</f>
        <v/>
      </c>
      <c r="AH54">
        <f>IFERROR(IF(VLOOKUP(A54,Rules!$G$2:$H$13,2,FALSE)="Priority","Priority Region","Standard Region"),"Standard Region")</f>
        <v/>
      </c>
      <c r="AI54">
        <f>ROUND(SUMPRODUCT(E54:J54,{0.08,0.08,0.15,0.1,0.25,0.34}),2)</f>
        <v/>
      </c>
      <c r="AJ54" s="2">
        <f>ROUND(AE54*INDEX(Rules!$J$2:$J$5,MATCH(MONTH(K54),Rules!$I$2:$I$5,1)),2)</f>
        <v/>
      </c>
    </row>
    <row r="55">
      <c r="A55" t="inlineStr">
        <is>
          <t>Kashkadarya</t>
        </is>
      </c>
      <c r="B55" t="inlineStr">
        <is>
          <t>Rural-3</t>
        </is>
      </c>
      <c r="C55" t="inlineStr">
        <is>
          <t>Sardor Jabborov</t>
        </is>
      </c>
      <c r="D55" t="n">
        <v>118</v>
      </c>
      <c r="E55" t="n">
        <v>98</v>
      </c>
      <c r="F55" s="2" t="n">
        <v>223</v>
      </c>
      <c r="G55" t="n">
        <v>18</v>
      </c>
      <c r="H55" t="n">
        <v>8</v>
      </c>
      <c r="I55" t="n">
        <v>74</v>
      </c>
      <c r="J55" s="3" t="n">
        <v>0.8305</v>
      </c>
      <c r="K55" s="4" t="inlineStr">
        <is>
          <t>2026-06-01</t>
        </is>
      </c>
      <c r="L55" s="2" t="n">
        <v>88</v>
      </c>
      <c r="M55" s="2" t="n">
        <v>40</v>
      </c>
      <c r="N55" s="3" t="n">
        <v>0.03</v>
      </c>
      <c r="O55" t="inlineStr">
        <is>
          <t>Tier-5</t>
        </is>
      </c>
      <c r="P55">
        <f>E55-D55</f>
        <v/>
      </c>
      <c r="Q55" s="3">
        <f>IF(D55=0,0,E55/D55-1)</f>
        <v/>
      </c>
      <c r="R55" s="2">
        <f>E55*F55</f>
        <v/>
      </c>
      <c r="S55" s="2">
        <f>H55*(F55*1.5/8)</f>
        <v/>
      </c>
      <c r="T55" s="2">
        <f>R55+S55+L55+M55</f>
        <v/>
      </c>
      <c r="U55">
        <f>IF(G55=0,0,E55/G55)</f>
        <v/>
      </c>
      <c r="V55">
        <f>IF(I55&gt;=95,"A",IF(I55&gt;=85,"B",IF(I55&gt;=75,"C","D")))</f>
        <v/>
      </c>
      <c r="W55">
        <f>ROUND((J55*35)+(I55*0.25)+(U55*0.2)+(IF(Q55&gt;0,100,MAX(0,100+Q55*100))*0.2),2)</f>
        <v/>
      </c>
      <c r="X55" s="2">
        <f>ROUND(T55*N55*IF(V55="A",1.25,IF(V55="B",1.1,IF(V55="C",0.9,0.5))),2)</f>
        <v/>
      </c>
      <c r="Y55">
        <f>IF(OR(I55&lt;80,J55&lt;0.75,E55&lt;D55*0.85),"HIGH",IF(OR(I55&lt;90,J55&lt;0.9),"MEDIUM","LOW"))</f>
        <v/>
      </c>
      <c r="Z55" s="2">
        <f>ROUND(E55*INDEX(Rules!$B$2:$B$6,MATCH(O55,Rules!$A$2:$A$6,0))*INDEX(Rules!$C$2:$C$5,MATCH(V55,Rules!$D$2:$D$5,0)),2)</f>
        <v/>
      </c>
      <c r="AA55" s="2">
        <f>Z55-T55-X55</f>
        <v/>
      </c>
      <c r="AB55" s="3">
        <f>IF(Z55=0,0,AA55/Z55)</f>
        <v/>
      </c>
      <c r="AC55">
        <f>UPPER(LEFT(A55,3)&amp;"-"&amp;LEFT(B55,3)&amp;"-"&amp;TEXT(ROW()-1,"000"))</f>
        <v/>
      </c>
      <c r="AD55">
        <f>INDEX(Rules!$E$2:$E$6,MATCH(O55,Rules!$A$2:$A$6,0))</f>
        <v/>
      </c>
      <c r="AE55" s="2">
        <f>ROUND(AA55*AD55,2)</f>
        <v/>
      </c>
      <c r="AF55">
        <f>RANK(W55,$W$2:$W$181,0)</f>
        <v/>
      </c>
      <c r="AG55">
        <f>IF(AND(AB55&gt;0.18,Y55="LOW"),"PASS",IF(AB55&gt;0.08,"WATCH","FAIL"))</f>
        <v/>
      </c>
      <c r="AH55">
        <f>IFERROR(IF(VLOOKUP(A55,Rules!$G$2:$H$13,2,FALSE)="Priority","Priority Region","Standard Region"),"Standard Region")</f>
        <v/>
      </c>
      <c r="AI55">
        <f>ROUND(SUMPRODUCT(E55:J55,{0.08,0.08,0.15,0.1,0.25,0.34}),2)</f>
        <v/>
      </c>
      <c r="AJ55" s="2">
        <f>ROUND(AE55*INDEX(Rules!$J$2:$J$5,MATCH(MONTH(K55),Rules!$I$2:$I$5,1)),2)</f>
        <v/>
      </c>
    </row>
    <row r="56">
      <c r="A56" t="inlineStr">
        <is>
          <t>Surkhandarya</t>
        </is>
      </c>
      <c r="B56" t="inlineStr">
        <is>
          <t>Urban-4</t>
        </is>
      </c>
      <c r="C56" t="inlineStr">
        <is>
          <t>Kamola Rahimova</t>
        </is>
      </c>
      <c r="D56" t="n">
        <v>125</v>
      </c>
      <c r="E56" t="n">
        <v>107</v>
      </c>
      <c r="F56" s="2" t="n">
        <v>232</v>
      </c>
      <c r="G56" t="n">
        <v>19</v>
      </c>
      <c r="H56" t="n">
        <v>11</v>
      </c>
      <c r="I56" t="n">
        <v>79</v>
      </c>
      <c r="J56" s="3" t="n">
        <v>0.856</v>
      </c>
      <c r="K56" s="4" t="inlineStr">
        <is>
          <t>2026-07-01</t>
        </is>
      </c>
      <c r="L56" s="2" t="n">
        <v>96</v>
      </c>
      <c r="M56" s="2" t="n">
        <v>45</v>
      </c>
      <c r="N56" s="3" t="n">
        <v>0.0425</v>
      </c>
      <c r="O56" t="inlineStr">
        <is>
          <t>Tier-1</t>
        </is>
      </c>
      <c r="P56">
        <f>E56-D56</f>
        <v/>
      </c>
      <c r="Q56" s="3">
        <f>IF(D56=0,0,E56/D56-1)</f>
        <v/>
      </c>
      <c r="R56" s="2">
        <f>E56*F56</f>
        <v/>
      </c>
      <c r="S56" s="2">
        <f>H56*(F56*1.5/8)</f>
        <v/>
      </c>
      <c r="T56" s="2">
        <f>R56+S56+L56+M56</f>
        <v/>
      </c>
      <c r="U56">
        <f>IF(G56=0,0,E56/G56)</f>
        <v/>
      </c>
      <c r="V56">
        <f>IF(I56&gt;=95,"A",IF(I56&gt;=85,"B",IF(I56&gt;=75,"C","D")))</f>
        <v/>
      </c>
      <c r="W56">
        <f>ROUND((J56*35)+(I56*0.25)+(U56*0.2)+(IF(Q56&gt;0,100,MAX(0,100+Q56*100))*0.2),2)</f>
        <v/>
      </c>
      <c r="X56" s="2">
        <f>ROUND(T56*N56*IF(V56="A",1.25,IF(V56="B",1.1,IF(V56="C",0.9,0.5))),2)</f>
        <v/>
      </c>
      <c r="Y56">
        <f>IF(OR(I56&lt;80,J56&lt;0.75,E56&lt;D56*0.85),"HIGH",IF(OR(I56&lt;90,J56&lt;0.9),"MEDIUM","LOW"))</f>
        <v/>
      </c>
      <c r="Z56" s="2">
        <f>ROUND(E56*INDEX(Rules!$B$2:$B$6,MATCH(O56,Rules!$A$2:$A$6,0))*INDEX(Rules!$C$2:$C$5,MATCH(V56,Rules!$D$2:$D$5,0)),2)</f>
        <v/>
      </c>
      <c r="AA56" s="2">
        <f>Z56-T56-X56</f>
        <v/>
      </c>
      <c r="AB56" s="3">
        <f>IF(Z56=0,0,AA56/Z56)</f>
        <v/>
      </c>
      <c r="AC56">
        <f>UPPER(LEFT(A56,3)&amp;"-"&amp;LEFT(B56,3)&amp;"-"&amp;TEXT(ROW()-1,"000"))</f>
        <v/>
      </c>
      <c r="AD56">
        <f>INDEX(Rules!$E$2:$E$6,MATCH(O56,Rules!$A$2:$A$6,0))</f>
        <v/>
      </c>
      <c r="AE56" s="2">
        <f>ROUND(AA56*AD56,2)</f>
        <v/>
      </c>
      <c r="AF56">
        <f>RANK(W56,$W$2:$W$181,0)</f>
        <v/>
      </c>
      <c r="AG56">
        <f>IF(AND(AB56&gt;0.18,Y56="LOW"),"PASS",IF(AB56&gt;0.08,"WATCH","FAIL"))</f>
        <v/>
      </c>
      <c r="AH56">
        <f>IFERROR(IF(VLOOKUP(A56,Rules!$G$2:$H$13,2,FALSE)="Priority","Priority Region","Standard Region"),"Standard Region")</f>
        <v/>
      </c>
      <c r="AI56">
        <f>ROUND(SUMPRODUCT(E56:J56,{0.08,0.08,0.15,0.1,0.25,0.34}),2)</f>
        <v/>
      </c>
      <c r="AJ56" s="2">
        <f>ROUND(AE56*INDEX(Rules!$J$2:$J$5,MATCH(MONTH(K56),Rules!$I$2:$I$5,1)),2)</f>
        <v/>
      </c>
    </row>
    <row r="57">
      <c r="A57" t="inlineStr">
        <is>
          <t>Khorezm</t>
        </is>
      </c>
      <c r="B57" t="inlineStr">
        <is>
          <t>Central-1</t>
        </is>
      </c>
      <c r="C57" t="inlineStr">
        <is>
          <t>Aziza Karimova</t>
        </is>
      </c>
      <c r="D57" t="n">
        <v>132</v>
      </c>
      <c r="E57" t="n">
        <v>121</v>
      </c>
      <c r="F57" s="2" t="n">
        <v>115</v>
      </c>
      <c r="G57" t="n">
        <v>20</v>
      </c>
      <c r="H57" t="n">
        <v>14</v>
      </c>
      <c r="I57" t="n">
        <v>84</v>
      </c>
      <c r="J57" s="3" t="n">
        <v>0.9167</v>
      </c>
      <c r="K57" s="4" t="inlineStr">
        <is>
          <t>2026-08-01</t>
        </is>
      </c>
      <c r="L57" s="2" t="n">
        <v>104</v>
      </c>
      <c r="M57" s="2" t="n">
        <v>50</v>
      </c>
      <c r="N57" s="3" t="n">
        <v>0.055</v>
      </c>
      <c r="O57" t="inlineStr">
        <is>
          <t>Tier-2</t>
        </is>
      </c>
      <c r="P57">
        <f>E57-D57</f>
        <v/>
      </c>
      <c r="Q57" s="3">
        <f>IF(D57=0,0,E57/D57-1)</f>
        <v/>
      </c>
      <c r="R57" s="2">
        <f>E57*F57</f>
        <v/>
      </c>
      <c r="S57" s="2">
        <f>H57*(F57*1.5/8)</f>
        <v/>
      </c>
      <c r="T57" s="2">
        <f>R57+S57+L57+M57</f>
        <v/>
      </c>
      <c r="U57">
        <f>IF(G57=0,0,E57/G57)</f>
        <v/>
      </c>
      <c r="V57">
        <f>IF(I57&gt;=95,"A",IF(I57&gt;=85,"B",IF(I57&gt;=75,"C","D")))</f>
        <v/>
      </c>
      <c r="W57">
        <f>ROUND((J57*35)+(I57*0.25)+(U57*0.2)+(IF(Q57&gt;0,100,MAX(0,100+Q57*100))*0.2),2)</f>
        <v/>
      </c>
      <c r="X57" s="2">
        <f>ROUND(T57*N57*IF(V57="A",1.25,IF(V57="B",1.1,IF(V57="C",0.9,0.5))),2)</f>
        <v/>
      </c>
      <c r="Y57">
        <f>IF(OR(I57&lt;80,J57&lt;0.75,E57&lt;D57*0.85),"HIGH",IF(OR(I57&lt;90,J57&lt;0.9),"MEDIUM","LOW"))</f>
        <v/>
      </c>
      <c r="Z57" s="2">
        <f>ROUND(E57*INDEX(Rules!$B$2:$B$6,MATCH(O57,Rules!$A$2:$A$6,0))*INDEX(Rules!$C$2:$C$5,MATCH(V57,Rules!$D$2:$D$5,0)),2)</f>
        <v/>
      </c>
      <c r="AA57" s="2">
        <f>Z57-T57-X57</f>
        <v/>
      </c>
      <c r="AB57" s="3">
        <f>IF(Z57=0,0,AA57/Z57)</f>
        <v/>
      </c>
      <c r="AC57">
        <f>UPPER(LEFT(A57,3)&amp;"-"&amp;LEFT(B57,3)&amp;"-"&amp;TEXT(ROW()-1,"000"))</f>
        <v/>
      </c>
      <c r="AD57">
        <f>INDEX(Rules!$E$2:$E$6,MATCH(O57,Rules!$A$2:$A$6,0))</f>
        <v/>
      </c>
      <c r="AE57" s="2">
        <f>ROUND(AA57*AD57,2)</f>
        <v/>
      </c>
      <c r="AF57">
        <f>RANK(W57,$W$2:$W$181,0)</f>
        <v/>
      </c>
      <c r="AG57">
        <f>IF(AND(AB57&gt;0.18,Y57="LOW"),"PASS",IF(AB57&gt;0.08,"WATCH","FAIL"))</f>
        <v/>
      </c>
      <c r="AH57">
        <f>IFERROR(IF(VLOOKUP(A57,Rules!$G$2:$H$13,2,FALSE)="Priority","Priority Region","Standard Region"),"Standard Region")</f>
        <v/>
      </c>
      <c r="AI57">
        <f>ROUND(SUMPRODUCT(E57:J57,{0.08,0.08,0.15,0.1,0.25,0.34}),2)</f>
        <v/>
      </c>
      <c r="AJ57" s="2">
        <f>ROUND(AE57*INDEX(Rules!$J$2:$J$5,MATCH(MONTH(K57),Rules!$I$2:$I$5,1)),2)</f>
        <v/>
      </c>
    </row>
    <row r="58">
      <c r="A58" t="inlineStr">
        <is>
          <t>Jizzakh</t>
        </is>
      </c>
      <c r="B58" t="inlineStr">
        <is>
          <t>North-2</t>
        </is>
      </c>
      <c r="C58" t="inlineStr">
        <is>
          <t>Bekzod Aliyev</t>
        </is>
      </c>
      <c r="D58" t="n">
        <v>139</v>
      </c>
      <c r="E58" t="n">
        <v>135</v>
      </c>
      <c r="F58" s="2" t="n">
        <v>124</v>
      </c>
      <c r="G58" t="n">
        <v>21</v>
      </c>
      <c r="H58" t="n">
        <v>17</v>
      </c>
      <c r="I58" t="n">
        <v>89</v>
      </c>
      <c r="J58" s="3" t="n">
        <v>0.9712</v>
      </c>
      <c r="K58" s="4" t="inlineStr">
        <is>
          <t>2026-09-01</t>
        </is>
      </c>
      <c r="L58" s="2" t="n">
        <v>112</v>
      </c>
      <c r="M58" s="2" t="n">
        <v>55</v>
      </c>
      <c r="N58" s="3" t="n">
        <v>0.0675</v>
      </c>
      <c r="O58" t="inlineStr">
        <is>
          <t>Tier-3</t>
        </is>
      </c>
      <c r="P58">
        <f>E58-D58</f>
        <v/>
      </c>
      <c r="Q58" s="3">
        <f>IF(D58=0,0,E58/D58-1)</f>
        <v/>
      </c>
      <c r="R58" s="2">
        <f>E58*F58</f>
        <v/>
      </c>
      <c r="S58" s="2">
        <f>H58*(F58*1.5/8)</f>
        <v/>
      </c>
      <c r="T58" s="2">
        <f>R58+S58+L58+M58</f>
        <v/>
      </c>
      <c r="U58">
        <f>IF(G58=0,0,E58/G58)</f>
        <v/>
      </c>
      <c r="V58">
        <f>IF(I58&gt;=95,"A",IF(I58&gt;=85,"B",IF(I58&gt;=75,"C","D")))</f>
        <v/>
      </c>
      <c r="W58">
        <f>ROUND((J58*35)+(I58*0.25)+(U58*0.2)+(IF(Q58&gt;0,100,MAX(0,100+Q58*100))*0.2),2)</f>
        <v/>
      </c>
      <c r="X58" s="2">
        <f>ROUND(T58*N58*IF(V58="A",1.25,IF(V58="B",1.1,IF(V58="C",0.9,0.5))),2)</f>
        <v/>
      </c>
      <c r="Y58">
        <f>IF(OR(I58&lt;80,J58&lt;0.75,E58&lt;D58*0.85),"HIGH",IF(OR(I58&lt;90,J58&lt;0.9),"MEDIUM","LOW"))</f>
        <v/>
      </c>
      <c r="Z58" s="2">
        <f>ROUND(E58*INDEX(Rules!$B$2:$B$6,MATCH(O58,Rules!$A$2:$A$6,0))*INDEX(Rules!$C$2:$C$5,MATCH(V58,Rules!$D$2:$D$5,0)),2)</f>
        <v/>
      </c>
      <c r="AA58" s="2">
        <f>Z58-T58-X58</f>
        <v/>
      </c>
      <c r="AB58" s="3">
        <f>IF(Z58=0,0,AA58/Z58)</f>
        <v/>
      </c>
      <c r="AC58">
        <f>UPPER(LEFT(A58,3)&amp;"-"&amp;LEFT(B58,3)&amp;"-"&amp;TEXT(ROW()-1,"000"))</f>
        <v/>
      </c>
      <c r="AD58">
        <f>INDEX(Rules!$E$2:$E$6,MATCH(O58,Rules!$A$2:$A$6,0))</f>
        <v/>
      </c>
      <c r="AE58" s="2">
        <f>ROUND(AA58*AD58,2)</f>
        <v/>
      </c>
      <c r="AF58">
        <f>RANK(W58,$W$2:$W$181,0)</f>
        <v/>
      </c>
      <c r="AG58">
        <f>IF(AND(AB58&gt;0.18,Y58="LOW"),"PASS",IF(AB58&gt;0.08,"WATCH","FAIL"))</f>
        <v/>
      </c>
      <c r="AH58">
        <f>IFERROR(IF(VLOOKUP(A58,Rules!$G$2:$H$13,2,FALSE)="Priority","Priority Region","Standard Region"),"Standard Region")</f>
        <v/>
      </c>
      <c r="AI58">
        <f>ROUND(SUMPRODUCT(E58:J58,{0.08,0.08,0.15,0.1,0.25,0.34}),2)</f>
        <v/>
      </c>
      <c r="AJ58" s="2">
        <f>ROUND(AE58*INDEX(Rules!$J$2:$J$5,MATCH(MONTH(K58),Rules!$I$2:$I$5,1)),2)</f>
        <v/>
      </c>
    </row>
    <row r="59">
      <c r="A59" t="inlineStr">
        <is>
          <t>Navoi</t>
        </is>
      </c>
      <c r="B59" t="inlineStr">
        <is>
          <t>South-3</t>
        </is>
      </c>
      <c r="C59" t="inlineStr">
        <is>
          <t>Dilshod Rustamov</t>
        </is>
      </c>
      <c r="D59" t="n">
        <v>146</v>
      </c>
      <c r="E59" t="n">
        <v>149</v>
      </c>
      <c r="F59" s="2" t="n">
        <v>133</v>
      </c>
      <c r="G59" t="n">
        <v>22</v>
      </c>
      <c r="H59" t="n">
        <v>20</v>
      </c>
      <c r="I59" t="n">
        <v>94</v>
      </c>
      <c r="J59" s="3" t="n">
        <v>1.0205</v>
      </c>
      <c r="K59" s="4" t="inlineStr">
        <is>
          <t>2026-10-01</t>
        </is>
      </c>
      <c r="L59" s="2" t="n">
        <v>120</v>
      </c>
      <c r="M59" s="2" t="n">
        <v>60</v>
      </c>
      <c r="N59" s="3" t="n">
        <v>0.08</v>
      </c>
      <c r="O59" t="inlineStr">
        <is>
          <t>Tier-4</t>
        </is>
      </c>
      <c r="P59">
        <f>E59-D59</f>
        <v/>
      </c>
      <c r="Q59" s="3">
        <f>IF(D59=0,0,E59/D59-1)</f>
        <v/>
      </c>
      <c r="R59" s="2">
        <f>E59*F59</f>
        <v/>
      </c>
      <c r="S59" s="2">
        <f>H59*(F59*1.5/8)</f>
        <v/>
      </c>
      <c r="T59" s="2">
        <f>R59+S59+L59+M59</f>
        <v/>
      </c>
      <c r="U59">
        <f>IF(G59=0,0,E59/G59)</f>
        <v/>
      </c>
      <c r="V59">
        <f>IF(I59&gt;=95,"A",IF(I59&gt;=85,"B",IF(I59&gt;=75,"C","D")))</f>
        <v/>
      </c>
      <c r="W59">
        <f>ROUND((J59*35)+(I59*0.25)+(U59*0.2)+(IF(Q59&gt;0,100,MAX(0,100+Q59*100))*0.2),2)</f>
        <v/>
      </c>
      <c r="X59" s="2">
        <f>ROUND(T59*N59*IF(V59="A",1.25,IF(V59="B",1.1,IF(V59="C",0.9,0.5))),2)</f>
        <v/>
      </c>
      <c r="Y59">
        <f>IF(OR(I59&lt;80,J59&lt;0.75,E59&lt;D59*0.85),"HIGH",IF(OR(I59&lt;90,J59&lt;0.9),"MEDIUM","LOW"))</f>
        <v/>
      </c>
      <c r="Z59" s="2">
        <f>ROUND(E59*INDEX(Rules!$B$2:$B$6,MATCH(O59,Rules!$A$2:$A$6,0))*INDEX(Rules!$C$2:$C$5,MATCH(V59,Rules!$D$2:$D$5,0)),2)</f>
        <v/>
      </c>
      <c r="AA59" s="2">
        <f>Z59-T59-X59</f>
        <v/>
      </c>
      <c r="AB59" s="3">
        <f>IF(Z59=0,0,AA59/Z59)</f>
        <v/>
      </c>
      <c r="AC59">
        <f>UPPER(LEFT(A59,3)&amp;"-"&amp;LEFT(B59,3)&amp;"-"&amp;TEXT(ROW()-1,"000"))</f>
        <v/>
      </c>
      <c r="AD59">
        <f>INDEX(Rules!$E$2:$E$6,MATCH(O59,Rules!$A$2:$A$6,0))</f>
        <v/>
      </c>
      <c r="AE59" s="2">
        <f>ROUND(AA59*AD59,2)</f>
        <v/>
      </c>
      <c r="AF59">
        <f>RANK(W59,$W$2:$W$181,0)</f>
        <v/>
      </c>
      <c r="AG59">
        <f>IF(AND(AB59&gt;0.18,Y59="LOW"),"PASS",IF(AB59&gt;0.08,"WATCH","FAIL"))</f>
        <v/>
      </c>
      <c r="AH59">
        <f>IFERROR(IF(VLOOKUP(A59,Rules!$G$2:$H$13,2,FALSE)="Priority","Priority Region","Standard Region"),"Standard Region")</f>
        <v/>
      </c>
      <c r="AI59">
        <f>ROUND(SUMPRODUCT(E59:J59,{0.08,0.08,0.15,0.1,0.25,0.34}),2)</f>
        <v/>
      </c>
      <c r="AJ59" s="2">
        <f>ROUND(AE59*INDEX(Rules!$J$2:$J$5,MATCH(MONTH(K59),Rules!$I$2:$I$5,1)),2)</f>
        <v/>
      </c>
    </row>
    <row r="60">
      <c r="A60" t="inlineStr">
        <is>
          <t>Syrdarya</t>
        </is>
      </c>
      <c r="B60" t="inlineStr">
        <is>
          <t>East-4</t>
        </is>
      </c>
      <c r="C60" t="inlineStr">
        <is>
          <t>Malika Ergasheva</t>
        </is>
      </c>
      <c r="D60" t="n">
        <v>153</v>
      </c>
      <c r="E60" t="n">
        <v>163</v>
      </c>
      <c r="F60" s="2" t="n">
        <v>142</v>
      </c>
      <c r="G60" t="n">
        <v>23</v>
      </c>
      <c r="H60" t="n">
        <v>1</v>
      </c>
      <c r="I60" t="n">
        <v>99</v>
      </c>
      <c r="J60" s="3" t="n">
        <v>1.0654</v>
      </c>
      <c r="K60" s="4" t="inlineStr">
        <is>
          <t>2026-11-01</t>
        </is>
      </c>
      <c r="L60" s="2" t="n">
        <v>128</v>
      </c>
      <c r="M60" s="2" t="n">
        <v>65</v>
      </c>
      <c r="N60" s="3" t="n">
        <v>0.0925</v>
      </c>
      <c r="O60" t="inlineStr">
        <is>
          <t>Tier-5</t>
        </is>
      </c>
      <c r="P60">
        <f>E60-D60</f>
        <v/>
      </c>
      <c r="Q60" s="3">
        <f>IF(D60=0,0,E60/D60-1)</f>
        <v/>
      </c>
      <c r="R60" s="2">
        <f>E60*F60</f>
        <v/>
      </c>
      <c r="S60" s="2">
        <f>H60*(F60*1.5/8)</f>
        <v/>
      </c>
      <c r="T60" s="2">
        <f>R60+S60+L60+M60</f>
        <v/>
      </c>
      <c r="U60">
        <f>IF(G60=0,0,E60/G60)</f>
        <v/>
      </c>
      <c r="V60">
        <f>IF(I60&gt;=95,"A",IF(I60&gt;=85,"B",IF(I60&gt;=75,"C","D")))</f>
        <v/>
      </c>
      <c r="W60">
        <f>ROUND((J60*35)+(I60*0.25)+(U60*0.2)+(IF(Q60&gt;0,100,MAX(0,100+Q60*100))*0.2),2)</f>
        <v/>
      </c>
      <c r="X60" s="2">
        <f>ROUND(T60*N60*IF(V60="A",1.25,IF(V60="B",1.1,IF(V60="C",0.9,0.5))),2)</f>
        <v/>
      </c>
      <c r="Y60">
        <f>IF(OR(I60&lt;80,J60&lt;0.75,E60&lt;D60*0.85),"HIGH",IF(OR(I60&lt;90,J60&lt;0.9),"MEDIUM","LOW"))</f>
        <v/>
      </c>
      <c r="Z60" s="2">
        <f>ROUND(E60*INDEX(Rules!$B$2:$B$6,MATCH(O60,Rules!$A$2:$A$6,0))*INDEX(Rules!$C$2:$C$5,MATCH(V60,Rules!$D$2:$D$5,0)),2)</f>
        <v/>
      </c>
      <c r="AA60" s="2">
        <f>Z60-T60-X60</f>
        <v/>
      </c>
      <c r="AB60" s="3">
        <f>IF(Z60=0,0,AA60/Z60)</f>
        <v/>
      </c>
      <c r="AC60">
        <f>UPPER(LEFT(A60,3)&amp;"-"&amp;LEFT(B60,3)&amp;"-"&amp;TEXT(ROW()-1,"000"))</f>
        <v/>
      </c>
      <c r="AD60">
        <f>INDEX(Rules!$E$2:$E$6,MATCH(O60,Rules!$A$2:$A$6,0))</f>
        <v/>
      </c>
      <c r="AE60" s="2">
        <f>ROUND(AA60*AD60,2)</f>
        <v/>
      </c>
      <c r="AF60">
        <f>RANK(W60,$W$2:$W$181,0)</f>
        <v/>
      </c>
      <c r="AG60">
        <f>IF(AND(AB60&gt;0.18,Y60="LOW"),"PASS",IF(AB60&gt;0.08,"WATCH","FAIL"))</f>
        <v/>
      </c>
      <c r="AH60">
        <f>IFERROR(IF(VLOOKUP(A60,Rules!$G$2:$H$13,2,FALSE)="Priority","Priority Region","Standard Region"),"Standard Region")</f>
        <v/>
      </c>
      <c r="AI60">
        <f>ROUND(SUMPRODUCT(E60:J60,{0.08,0.08,0.15,0.1,0.25,0.34}),2)</f>
        <v/>
      </c>
      <c r="AJ60" s="2">
        <f>ROUND(AE60*INDEX(Rules!$J$2:$J$5,MATCH(MONTH(K60),Rules!$I$2:$I$5,1)),2)</f>
        <v/>
      </c>
    </row>
    <row r="61">
      <c r="A61" t="inlineStr">
        <is>
          <t>Tashkent</t>
        </is>
      </c>
      <c r="B61" t="inlineStr">
        <is>
          <t>West-1</t>
        </is>
      </c>
      <c r="C61" t="inlineStr">
        <is>
          <t>Shahzod Islomov</t>
        </is>
      </c>
      <c r="D61" t="n">
        <v>160</v>
      </c>
      <c r="E61" t="n">
        <v>172</v>
      </c>
      <c r="F61" s="2" t="n">
        <v>151</v>
      </c>
      <c r="G61" t="n">
        <v>24</v>
      </c>
      <c r="H61" t="n">
        <v>4</v>
      </c>
      <c r="I61" t="n">
        <v>71</v>
      </c>
      <c r="J61" s="3" t="n">
        <v>1.075</v>
      </c>
      <c r="K61" s="4" t="inlineStr">
        <is>
          <t>2026-12-01</t>
        </is>
      </c>
      <c r="L61" s="2" t="n">
        <v>40</v>
      </c>
      <c r="M61" s="2" t="n">
        <v>20</v>
      </c>
      <c r="N61" s="3" t="n">
        <v>0.03</v>
      </c>
      <c r="O61" t="inlineStr">
        <is>
          <t>Tier-1</t>
        </is>
      </c>
      <c r="P61">
        <f>E61-D61</f>
        <v/>
      </c>
      <c r="Q61" s="3">
        <f>IF(D61=0,0,E61/D61-1)</f>
        <v/>
      </c>
      <c r="R61" s="2">
        <f>E61*F61</f>
        <v/>
      </c>
      <c r="S61" s="2">
        <f>H61*(F61*1.5/8)</f>
        <v/>
      </c>
      <c r="T61" s="2">
        <f>R61+S61+L61+M61</f>
        <v/>
      </c>
      <c r="U61">
        <f>IF(G61=0,0,E61/G61)</f>
        <v/>
      </c>
      <c r="V61">
        <f>IF(I61&gt;=95,"A",IF(I61&gt;=85,"B",IF(I61&gt;=75,"C","D")))</f>
        <v/>
      </c>
      <c r="W61">
        <f>ROUND((J61*35)+(I61*0.25)+(U61*0.2)+(IF(Q61&gt;0,100,MAX(0,100+Q61*100))*0.2),2)</f>
        <v/>
      </c>
      <c r="X61" s="2">
        <f>ROUND(T61*N61*IF(V61="A",1.25,IF(V61="B",1.1,IF(V61="C",0.9,0.5))),2)</f>
        <v/>
      </c>
      <c r="Y61">
        <f>IF(OR(I61&lt;80,J61&lt;0.75,E61&lt;D61*0.85),"HIGH",IF(OR(I61&lt;90,J61&lt;0.9),"MEDIUM","LOW"))</f>
        <v/>
      </c>
      <c r="Z61" s="2">
        <f>ROUND(E61*INDEX(Rules!$B$2:$B$6,MATCH(O61,Rules!$A$2:$A$6,0))*INDEX(Rules!$C$2:$C$5,MATCH(V61,Rules!$D$2:$D$5,0)),2)</f>
        <v/>
      </c>
      <c r="AA61" s="2">
        <f>Z61-T61-X61</f>
        <v/>
      </c>
      <c r="AB61" s="3">
        <f>IF(Z61=0,0,AA61/Z61)</f>
        <v/>
      </c>
      <c r="AC61">
        <f>UPPER(LEFT(A61,3)&amp;"-"&amp;LEFT(B61,3)&amp;"-"&amp;TEXT(ROW()-1,"000"))</f>
        <v/>
      </c>
      <c r="AD61">
        <f>INDEX(Rules!$E$2:$E$6,MATCH(O61,Rules!$A$2:$A$6,0))</f>
        <v/>
      </c>
      <c r="AE61" s="2">
        <f>ROUND(AA61*AD61,2)</f>
        <v/>
      </c>
      <c r="AF61">
        <f>RANK(W61,$W$2:$W$181,0)</f>
        <v/>
      </c>
      <c r="AG61">
        <f>IF(AND(AB61&gt;0.18,Y61="LOW"),"PASS",IF(AB61&gt;0.08,"WATCH","FAIL"))</f>
        <v/>
      </c>
      <c r="AH61">
        <f>IFERROR(IF(VLOOKUP(A61,Rules!$G$2:$H$13,2,FALSE)="Priority","Priority Region","Standard Region"),"Standard Region")</f>
        <v/>
      </c>
      <c r="AI61">
        <f>ROUND(SUMPRODUCT(E61:J61,{0.08,0.08,0.15,0.1,0.25,0.34}),2)</f>
        <v/>
      </c>
      <c r="AJ61" s="2">
        <f>ROUND(AE61*INDEX(Rules!$J$2:$J$5,MATCH(MONTH(K61),Rules!$I$2:$I$5,1)),2)</f>
        <v/>
      </c>
    </row>
    <row r="62">
      <c r="A62" t="inlineStr">
        <is>
          <t>Samarkand</t>
        </is>
      </c>
      <c r="B62" t="inlineStr">
        <is>
          <t>Industrial-2</t>
        </is>
      </c>
      <c r="C62" t="inlineStr">
        <is>
          <t>Nilufar Tursunova</t>
        </is>
      </c>
      <c r="D62" t="n">
        <v>167</v>
      </c>
      <c r="E62" t="n">
        <v>186</v>
      </c>
      <c r="F62" s="2" t="n">
        <v>160</v>
      </c>
      <c r="G62" t="n">
        <v>25</v>
      </c>
      <c r="H62" t="n">
        <v>7</v>
      </c>
      <c r="I62" t="n">
        <v>76</v>
      </c>
      <c r="J62" s="3" t="n">
        <v>1.1138</v>
      </c>
      <c r="K62" s="4" t="inlineStr">
        <is>
          <t>2026-01-01</t>
        </is>
      </c>
      <c r="L62" s="2" t="n">
        <v>48</v>
      </c>
      <c r="M62" s="2" t="n">
        <v>25</v>
      </c>
      <c r="N62" s="3" t="n">
        <v>0.0425</v>
      </c>
      <c r="O62" t="inlineStr">
        <is>
          <t>Tier-2</t>
        </is>
      </c>
      <c r="P62">
        <f>E62-D62</f>
        <v/>
      </c>
      <c r="Q62" s="3">
        <f>IF(D62=0,0,E62/D62-1)</f>
        <v/>
      </c>
      <c r="R62" s="2">
        <f>E62*F62</f>
        <v/>
      </c>
      <c r="S62" s="2">
        <f>H62*(F62*1.5/8)</f>
        <v/>
      </c>
      <c r="T62" s="2">
        <f>R62+S62+L62+M62</f>
        <v/>
      </c>
      <c r="U62">
        <f>IF(G62=0,0,E62/G62)</f>
        <v/>
      </c>
      <c r="V62">
        <f>IF(I62&gt;=95,"A",IF(I62&gt;=85,"B",IF(I62&gt;=75,"C","D")))</f>
        <v/>
      </c>
      <c r="W62">
        <f>ROUND((J62*35)+(I62*0.25)+(U62*0.2)+(IF(Q62&gt;0,100,MAX(0,100+Q62*100))*0.2),2)</f>
        <v/>
      </c>
      <c r="X62" s="2">
        <f>ROUND(T62*N62*IF(V62="A",1.25,IF(V62="B",1.1,IF(V62="C",0.9,0.5))),2)</f>
        <v/>
      </c>
      <c r="Y62">
        <f>IF(OR(I62&lt;80,J62&lt;0.75,E62&lt;D62*0.85),"HIGH",IF(OR(I62&lt;90,J62&lt;0.9),"MEDIUM","LOW"))</f>
        <v/>
      </c>
      <c r="Z62" s="2">
        <f>ROUND(E62*INDEX(Rules!$B$2:$B$6,MATCH(O62,Rules!$A$2:$A$6,0))*INDEX(Rules!$C$2:$C$5,MATCH(V62,Rules!$D$2:$D$5,0)),2)</f>
        <v/>
      </c>
      <c r="AA62" s="2">
        <f>Z62-T62-X62</f>
        <v/>
      </c>
      <c r="AB62" s="3">
        <f>IF(Z62=0,0,AA62/Z62)</f>
        <v/>
      </c>
      <c r="AC62">
        <f>UPPER(LEFT(A62,3)&amp;"-"&amp;LEFT(B62,3)&amp;"-"&amp;TEXT(ROW()-1,"000"))</f>
        <v/>
      </c>
      <c r="AD62">
        <f>INDEX(Rules!$E$2:$E$6,MATCH(O62,Rules!$A$2:$A$6,0))</f>
        <v/>
      </c>
      <c r="AE62" s="2">
        <f>ROUND(AA62*AD62,2)</f>
        <v/>
      </c>
      <c r="AF62">
        <f>RANK(W62,$W$2:$W$181,0)</f>
        <v/>
      </c>
      <c r="AG62">
        <f>IF(AND(AB62&gt;0.18,Y62="LOW"),"PASS",IF(AB62&gt;0.08,"WATCH","FAIL"))</f>
        <v/>
      </c>
      <c r="AH62">
        <f>IFERROR(IF(VLOOKUP(A62,Rules!$G$2:$H$13,2,FALSE)="Priority","Priority Region","Standard Region"),"Standard Region")</f>
        <v/>
      </c>
      <c r="AI62">
        <f>ROUND(SUMPRODUCT(E62:J62,{0.08,0.08,0.15,0.1,0.25,0.34}),2)</f>
        <v/>
      </c>
      <c r="AJ62" s="2">
        <f>ROUND(AE62*INDEX(Rules!$J$2:$J$5,MATCH(MONTH(K62),Rules!$I$2:$I$5,1)),2)</f>
        <v/>
      </c>
    </row>
    <row r="63">
      <c r="A63" t="inlineStr">
        <is>
          <t>Bukhara</t>
        </is>
      </c>
      <c r="B63" t="inlineStr">
        <is>
          <t>Rural-3</t>
        </is>
      </c>
      <c r="C63" t="inlineStr">
        <is>
          <t>Sardor Jabborov</t>
        </is>
      </c>
      <c r="D63" t="n">
        <v>174</v>
      </c>
      <c r="E63" t="n">
        <v>200</v>
      </c>
      <c r="F63" s="2" t="n">
        <v>169</v>
      </c>
      <c r="G63" t="n">
        <v>26</v>
      </c>
      <c r="H63" t="n">
        <v>10</v>
      </c>
      <c r="I63" t="n">
        <v>81</v>
      </c>
      <c r="J63" s="3" t="n">
        <v>1.1494</v>
      </c>
      <c r="K63" s="4" t="inlineStr">
        <is>
          <t>2026-02-01</t>
        </is>
      </c>
      <c r="L63" s="2" t="n">
        <v>56</v>
      </c>
      <c r="M63" s="2" t="n">
        <v>30</v>
      </c>
      <c r="N63" s="3" t="n">
        <v>0.055</v>
      </c>
      <c r="O63" t="inlineStr">
        <is>
          <t>Tier-3</t>
        </is>
      </c>
      <c r="P63">
        <f>E63-D63</f>
        <v/>
      </c>
      <c r="Q63" s="3">
        <f>IF(D63=0,0,E63/D63-1)</f>
        <v/>
      </c>
      <c r="R63" s="2">
        <f>E63*F63</f>
        <v/>
      </c>
      <c r="S63" s="2">
        <f>H63*(F63*1.5/8)</f>
        <v/>
      </c>
      <c r="T63" s="2">
        <f>R63+S63+L63+M63</f>
        <v/>
      </c>
      <c r="U63">
        <f>IF(G63=0,0,E63/G63)</f>
        <v/>
      </c>
      <c r="V63">
        <f>IF(I63&gt;=95,"A",IF(I63&gt;=85,"B",IF(I63&gt;=75,"C","D")))</f>
        <v/>
      </c>
      <c r="W63">
        <f>ROUND((J63*35)+(I63*0.25)+(U63*0.2)+(IF(Q63&gt;0,100,MAX(0,100+Q63*100))*0.2),2)</f>
        <v/>
      </c>
      <c r="X63" s="2">
        <f>ROUND(T63*N63*IF(V63="A",1.25,IF(V63="B",1.1,IF(V63="C",0.9,0.5))),2)</f>
        <v/>
      </c>
      <c r="Y63">
        <f>IF(OR(I63&lt;80,J63&lt;0.75,E63&lt;D63*0.85),"HIGH",IF(OR(I63&lt;90,J63&lt;0.9),"MEDIUM","LOW"))</f>
        <v/>
      </c>
      <c r="Z63" s="2">
        <f>ROUND(E63*INDEX(Rules!$B$2:$B$6,MATCH(O63,Rules!$A$2:$A$6,0))*INDEX(Rules!$C$2:$C$5,MATCH(V63,Rules!$D$2:$D$5,0)),2)</f>
        <v/>
      </c>
      <c r="AA63" s="2">
        <f>Z63-T63-X63</f>
        <v/>
      </c>
      <c r="AB63" s="3">
        <f>IF(Z63=0,0,AA63/Z63)</f>
        <v/>
      </c>
      <c r="AC63">
        <f>UPPER(LEFT(A63,3)&amp;"-"&amp;LEFT(B63,3)&amp;"-"&amp;TEXT(ROW()-1,"000"))</f>
        <v/>
      </c>
      <c r="AD63">
        <f>INDEX(Rules!$E$2:$E$6,MATCH(O63,Rules!$A$2:$A$6,0))</f>
        <v/>
      </c>
      <c r="AE63" s="2">
        <f>ROUND(AA63*AD63,2)</f>
        <v/>
      </c>
      <c r="AF63">
        <f>RANK(W63,$W$2:$W$181,0)</f>
        <v/>
      </c>
      <c r="AG63">
        <f>IF(AND(AB63&gt;0.18,Y63="LOW"),"PASS",IF(AB63&gt;0.08,"WATCH","FAIL"))</f>
        <v/>
      </c>
      <c r="AH63">
        <f>IFERROR(IF(VLOOKUP(A63,Rules!$G$2:$H$13,2,FALSE)="Priority","Priority Region","Standard Region"),"Standard Region")</f>
        <v/>
      </c>
      <c r="AI63">
        <f>ROUND(SUMPRODUCT(E63:J63,{0.08,0.08,0.15,0.1,0.25,0.34}),2)</f>
        <v/>
      </c>
      <c r="AJ63" s="2">
        <f>ROUND(AE63*INDEX(Rules!$J$2:$J$5,MATCH(MONTH(K63),Rules!$I$2:$I$5,1)),2)</f>
        <v/>
      </c>
    </row>
    <row r="64">
      <c r="A64" t="inlineStr">
        <is>
          <t>Andijan</t>
        </is>
      </c>
      <c r="B64" t="inlineStr">
        <is>
          <t>Urban-4</t>
        </is>
      </c>
      <c r="C64" t="inlineStr">
        <is>
          <t>Kamola Rahimova</t>
        </is>
      </c>
      <c r="D64" t="n">
        <v>181</v>
      </c>
      <c r="E64" t="n">
        <v>160</v>
      </c>
      <c r="F64" s="2" t="n">
        <v>178</v>
      </c>
      <c r="G64" t="n">
        <v>18</v>
      </c>
      <c r="H64" t="n">
        <v>13</v>
      </c>
      <c r="I64" t="n">
        <v>86</v>
      </c>
      <c r="J64" s="3" t="n">
        <v>0.884</v>
      </c>
      <c r="K64" s="4" t="inlineStr">
        <is>
          <t>2026-03-01</t>
        </is>
      </c>
      <c r="L64" s="2" t="n">
        <v>64</v>
      </c>
      <c r="M64" s="2" t="n">
        <v>35</v>
      </c>
      <c r="N64" s="3" t="n">
        <v>0.0675</v>
      </c>
      <c r="O64" t="inlineStr">
        <is>
          <t>Tier-4</t>
        </is>
      </c>
      <c r="P64">
        <f>E64-D64</f>
        <v/>
      </c>
      <c r="Q64" s="3">
        <f>IF(D64=0,0,E64/D64-1)</f>
        <v/>
      </c>
      <c r="R64" s="2">
        <f>E64*F64</f>
        <v/>
      </c>
      <c r="S64" s="2">
        <f>H64*(F64*1.5/8)</f>
        <v/>
      </c>
      <c r="T64" s="2">
        <f>R64+S64+L64+M64</f>
        <v/>
      </c>
      <c r="U64">
        <f>IF(G64=0,0,E64/G64)</f>
        <v/>
      </c>
      <c r="V64">
        <f>IF(I64&gt;=95,"A",IF(I64&gt;=85,"B",IF(I64&gt;=75,"C","D")))</f>
        <v/>
      </c>
      <c r="W64">
        <f>ROUND((J64*35)+(I64*0.25)+(U64*0.2)+(IF(Q64&gt;0,100,MAX(0,100+Q64*100))*0.2),2)</f>
        <v/>
      </c>
      <c r="X64" s="2">
        <f>ROUND(T64*N64*IF(V64="A",1.25,IF(V64="B",1.1,IF(V64="C",0.9,0.5))),2)</f>
        <v/>
      </c>
      <c r="Y64">
        <f>IF(OR(I64&lt;80,J64&lt;0.75,E64&lt;D64*0.85),"HIGH",IF(OR(I64&lt;90,J64&lt;0.9),"MEDIUM","LOW"))</f>
        <v/>
      </c>
      <c r="Z64" s="2">
        <f>ROUND(E64*INDEX(Rules!$B$2:$B$6,MATCH(O64,Rules!$A$2:$A$6,0))*INDEX(Rules!$C$2:$C$5,MATCH(V64,Rules!$D$2:$D$5,0)),2)</f>
        <v/>
      </c>
      <c r="AA64" s="2">
        <f>Z64-T64-X64</f>
        <v/>
      </c>
      <c r="AB64" s="3">
        <f>IF(Z64=0,0,AA64/Z64)</f>
        <v/>
      </c>
      <c r="AC64">
        <f>UPPER(LEFT(A64,3)&amp;"-"&amp;LEFT(B64,3)&amp;"-"&amp;TEXT(ROW()-1,"000"))</f>
        <v/>
      </c>
      <c r="AD64">
        <f>INDEX(Rules!$E$2:$E$6,MATCH(O64,Rules!$A$2:$A$6,0))</f>
        <v/>
      </c>
      <c r="AE64" s="2">
        <f>ROUND(AA64*AD64,2)</f>
        <v/>
      </c>
      <c r="AF64">
        <f>RANK(W64,$W$2:$W$181,0)</f>
        <v/>
      </c>
      <c r="AG64">
        <f>IF(AND(AB64&gt;0.18,Y64="LOW"),"PASS",IF(AB64&gt;0.08,"WATCH","FAIL"))</f>
        <v/>
      </c>
      <c r="AH64">
        <f>IFERROR(IF(VLOOKUP(A64,Rules!$G$2:$H$13,2,FALSE)="Priority","Priority Region","Standard Region"),"Standard Region")</f>
        <v/>
      </c>
      <c r="AI64">
        <f>ROUND(SUMPRODUCT(E64:J64,{0.08,0.08,0.15,0.1,0.25,0.34}),2)</f>
        <v/>
      </c>
      <c r="AJ64" s="2">
        <f>ROUND(AE64*INDEX(Rules!$J$2:$J$5,MATCH(MONTH(K64),Rules!$I$2:$I$5,1)),2)</f>
        <v/>
      </c>
    </row>
    <row r="65">
      <c r="A65" t="inlineStr">
        <is>
          <t>Namangan</t>
        </is>
      </c>
      <c r="B65" t="inlineStr">
        <is>
          <t>Central-1</t>
        </is>
      </c>
      <c r="C65" t="inlineStr">
        <is>
          <t>Aziza Karimova</t>
        </is>
      </c>
      <c r="D65" t="n">
        <v>188</v>
      </c>
      <c r="E65" t="n">
        <v>174</v>
      </c>
      <c r="F65" s="2" t="n">
        <v>187</v>
      </c>
      <c r="G65" t="n">
        <v>19</v>
      </c>
      <c r="H65" t="n">
        <v>16</v>
      </c>
      <c r="I65" t="n">
        <v>91</v>
      </c>
      <c r="J65" s="3" t="n">
        <v>0.9255</v>
      </c>
      <c r="K65" s="4" t="inlineStr">
        <is>
          <t>2026-04-01</t>
        </is>
      </c>
      <c r="L65" s="2" t="n">
        <v>72</v>
      </c>
      <c r="M65" s="2" t="n">
        <v>40</v>
      </c>
      <c r="N65" s="3" t="n">
        <v>0.08</v>
      </c>
      <c r="O65" t="inlineStr">
        <is>
          <t>Tier-5</t>
        </is>
      </c>
      <c r="P65">
        <f>E65-D65</f>
        <v/>
      </c>
      <c r="Q65" s="3">
        <f>IF(D65=0,0,E65/D65-1)</f>
        <v/>
      </c>
      <c r="R65" s="2">
        <f>E65*F65</f>
        <v/>
      </c>
      <c r="S65" s="2">
        <f>H65*(F65*1.5/8)</f>
        <v/>
      </c>
      <c r="T65" s="2">
        <f>R65+S65+L65+M65</f>
        <v/>
      </c>
      <c r="U65">
        <f>IF(G65=0,0,E65/G65)</f>
        <v/>
      </c>
      <c r="V65">
        <f>IF(I65&gt;=95,"A",IF(I65&gt;=85,"B",IF(I65&gt;=75,"C","D")))</f>
        <v/>
      </c>
      <c r="W65">
        <f>ROUND((J65*35)+(I65*0.25)+(U65*0.2)+(IF(Q65&gt;0,100,MAX(0,100+Q65*100))*0.2),2)</f>
        <v/>
      </c>
      <c r="X65" s="2">
        <f>ROUND(T65*N65*IF(V65="A",1.25,IF(V65="B",1.1,IF(V65="C",0.9,0.5))),2)</f>
        <v/>
      </c>
      <c r="Y65">
        <f>IF(OR(I65&lt;80,J65&lt;0.75,E65&lt;D65*0.85),"HIGH",IF(OR(I65&lt;90,J65&lt;0.9),"MEDIUM","LOW"))</f>
        <v/>
      </c>
      <c r="Z65" s="2">
        <f>ROUND(E65*INDEX(Rules!$B$2:$B$6,MATCH(O65,Rules!$A$2:$A$6,0))*INDEX(Rules!$C$2:$C$5,MATCH(V65,Rules!$D$2:$D$5,0)),2)</f>
        <v/>
      </c>
      <c r="AA65" s="2">
        <f>Z65-T65-X65</f>
        <v/>
      </c>
      <c r="AB65" s="3">
        <f>IF(Z65=0,0,AA65/Z65)</f>
        <v/>
      </c>
      <c r="AC65">
        <f>UPPER(LEFT(A65,3)&amp;"-"&amp;LEFT(B65,3)&amp;"-"&amp;TEXT(ROW()-1,"000"))</f>
        <v/>
      </c>
      <c r="AD65">
        <f>INDEX(Rules!$E$2:$E$6,MATCH(O65,Rules!$A$2:$A$6,0))</f>
        <v/>
      </c>
      <c r="AE65" s="2">
        <f>ROUND(AA65*AD65,2)</f>
        <v/>
      </c>
      <c r="AF65">
        <f>RANK(W65,$W$2:$W$181,0)</f>
        <v/>
      </c>
      <c r="AG65">
        <f>IF(AND(AB65&gt;0.18,Y65="LOW"),"PASS",IF(AB65&gt;0.08,"WATCH","FAIL"))</f>
        <v/>
      </c>
      <c r="AH65">
        <f>IFERROR(IF(VLOOKUP(A65,Rules!$G$2:$H$13,2,FALSE)="Priority","Priority Region","Standard Region"),"Standard Region")</f>
        <v/>
      </c>
      <c r="AI65">
        <f>ROUND(SUMPRODUCT(E65:J65,{0.08,0.08,0.15,0.1,0.25,0.34}),2)</f>
        <v/>
      </c>
      <c r="AJ65" s="2">
        <f>ROUND(AE65*INDEX(Rules!$J$2:$J$5,MATCH(MONTH(K65),Rules!$I$2:$I$5,1)),2)</f>
        <v/>
      </c>
    </row>
    <row r="66">
      <c r="A66" t="inlineStr">
        <is>
          <t>Fergana</t>
        </is>
      </c>
      <c r="B66" t="inlineStr">
        <is>
          <t>North-2</t>
        </is>
      </c>
      <c r="C66" t="inlineStr">
        <is>
          <t>Bekzod Aliyev</t>
        </is>
      </c>
      <c r="D66" t="n">
        <v>195</v>
      </c>
      <c r="E66" t="n">
        <v>183</v>
      </c>
      <c r="F66" s="2" t="n">
        <v>196</v>
      </c>
      <c r="G66" t="n">
        <v>20</v>
      </c>
      <c r="H66" t="n">
        <v>19</v>
      </c>
      <c r="I66" t="n">
        <v>96</v>
      </c>
      <c r="J66" s="3" t="n">
        <v>0.9385</v>
      </c>
      <c r="K66" s="4" t="inlineStr">
        <is>
          <t>2026-05-01</t>
        </is>
      </c>
      <c r="L66" s="2" t="n">
        <v>80</v>
      </c>
      <c r="M66" s="2" t="n">
        <v>45</v>
      </c>
      <c r="N66" s="3" t="n">
        <v>0.0925</v>
      </c>
      <c r="O66" t="inlineStr">
        <is>
          <t>Tier-1</t>
        </is>
      </c>
      <c r="P66">
        <f>E66-D66</f>
        <v/>
      </c>
      <c r="Q66" s="3">
        <f>IF(D66=0,0,E66/D66-1)</f>
        <v/>
      </c>
      <c r="R66" s="2">
        <f>E66*F66</f>
        <v/>
      </c>
      <c r="S66" s="2">
        <f>H66*(F66*1.5/8)</f>
        <v/>
      </c>
      <c r="T66" s="2">
        <f>R66+S66+L66+M66</f>
        <v/>
      </c>
      <c r="U66">
        <f>IF(G66=0,0,E66/G66)</f>
        <v/>
      </c>
      <c r="V66">
        <f>IF(I66&gt;=95,"A",IF(I66&gt;=85,"B",IF(I66&gt;=75,"C","D")))</f>
        <v/>
      </c>
      <c r="W66">
        <f>ROUND((J66*35)+(I66*0.25)+(U66*0.2)+(IF(Q66&gt;0,100,MAX(0,100+Q66*100))*0.2),2)</f>
        <v/>
      </c>
      <c r="X66" s="2">
        <f>ROUND(T66*N66*IF(V66="A",1.25,IF(V66="B",1.1,IF(V66="C",0.9,0.5))),2)</f>
        <v/>
      </c>
      <c r="Y66">
        <f>IF(OR(I66&lt;80,J66&lt;0.75,E66&lt;D66*0.85),"HIGH",IF(OR(I66&lt;90,J66&lt;0.9),"MEDIUM","LOW"))</f>
        <v/>
      </c>
      <c r="Z66" s="2">
        <f>ROUND(E66*INDEX(Rules!$B$2:$B$6,MATCH(O66,Rules!$A$2:$A$6,0))*INDEX(Rules!$C$2:$C$5,MATCH(V66,Rules!$D$2:$D$5,0)),2)</f>
        <v/>
      </c>
      <c r="AA66" s="2">
        <f>Z66-T66-X66</f>
        <v/>
      </c>
      <c r="AB66" s="3">
        <f>IF(Z66=0,0,AA66/Z66)</f>
        <v/>
      </c>
      <c r="AC66">
        <f>UPPER(LEFT(A66,3)&amp;"-"&amp;LEFT(B66,3)&amp;"-"&amp;TEXT(ROW()-1,"000"))</f>
        <v/>
      </c>
      <c r="AD66">
        <f>INDEX(Rules!$E$2:$E$6,MATCH(O66,Rules!$A$2:$A$6,0))</f>
        <v/>
      </c>
      <c r="AE66" s="2">
        <f>ROUND(AA66*AD66,2)</f>
        <v/>
      </c>
      <c r="AF66">
        <f>RANK(W66,$W$2:$W$181,0)</f>
        <v/>
      </c>
      <c r="AG66">
        <f>IF(AND(AB66&gt;0.18,Y66="LOW"),"PASS",IF(AB66&gt;0.08,"WATCH","FAIL"))</f>
        <v/>
      </c>
      <c r="AH66">
        <f>IFERROR(IF(VLOOKUP(A66,Rules!$G$2:$H$13,2,FALSE)="Priority","Priority Region","Standard Region"),"Standard Region")</f>
        <v/>
      </c>
      <c r="AI66">
        <f>ROUND(SUMPRODUCT(E66:J66,{0.08,0.08,0.15,0.1,0.25,0.34}),2)</f>
        <v/>
      </c>
      <c r="AJ66" s="2">
        <f>ROUND(AE66*INDEX(Rules!$J$2:$J$5,MATCH(MONTH(K66),Rules!$I$2:$I$5,1)),2)</f>
        <v/>
      </c>
    </row>
    <row r="67">
      <c r="A67" t="inlineStr">
        <is>
          <t>Kashkadarya</t>
        </is>
      </c>
      <c r="B67" t="inlineStr">
        <is>
          <t>South-3</t>
        </is>
      </c>
      <c r="C67" t="inlineStr">
        <is>
          <t>Dilshod Rustamov</t>
        </is>
      </c>
      <c r="D67" t="n">
        <v>202</v>
      </c>
      <c r="E67" t="n">
        <v>197</v>
      </c>
      <c r="F67" s="2" t="n">
        <v>205</v>
      </c>
      <c r="G67" t="n">
        <v>21</v>
      </c>
      <c r="H67" t="n">
        <v>0</v>
      </c>
      <c r="I67" t="n">
        <v>68</v>
      </c>
      <c r="J67" s="3" t="n">
        <v>0.9752</v>
      </c>
      <c r="K67" s="4" t="inlineStr">
        <is>
          <t>2026-06-01</t>
        </is>
      </c>
      <c r="L67" s="2" t="n">
        <v>88</v>
      </c>
      <c r="M67" s="2" t="n">
        <v>50</v>
      </c>
      <c r="N67" s="3" t="n">
        <v>0.03</v>
      </c>
      <c r="O67" t="inlineStr">
        <is>
          <t>Tier-2</t>
        </is>
      </c>
      <c r="P67">
        <f>E67-D67</f>
        <v/>
      </c>
      <c r="Q67" s="3">
        <f>IF(D67=0,0,E67/D67-1)</f>
        <v/>
      </c>
      <c r="R67" s="2">
        <f>E67*F67</f>
        <v/>
      </c>
      <c r="S67" s="2">
        <f>H67*(F67*1.5/8)</f>
        <v/>
      </c>
      <c r="T67" s="2">
        <f>R67+S67+L67+M67</f>
        <v/>
      </c>
      <c r="U67">
        <f>IF(G67=0,0,E67/G67)</f>
        <v/>
      </c>
      <c r="V67">
        <f>IF(I67&gt;=95,"A",IF(I67&gt;=85,"B",IF(I67&gt;=75,"C","D")))</f>
        <v/>
      </c>
      <c r="W67">
        <f>ROUND((J67*35)+(I67*0.25)+(U67*0.2)+(IF(Q67&gt;0,100,MAX(0,100+Q67*100))*0.2),2)</f>
        <v/>
      </c>
      <c r="X67" s="2">
        <f>ROUND(T67*N67*IF(V67="A",1.25,IF(V67="B",1.1,IF(V67="C",0.9,0.5))),2)</f>
        <v/>
      </c>
      <c r="Y67">
        <f>IF(OR(I67&lt;80,J67&lt;0.75,E67&lt;D67*0.85),"HIGH",IF(OR(I67&lt;90,J67&lt;0.9),"MEDIUM","LOW"))</f>
        <v/>
      </c>
      <c r="Z67" s="2">
        <f>ROUND(E67*INDEX(Rules!$B$2:$B$6,MATCH(O67,Rules!$A$2:$A$6,0))*INDEX(Rules!$C$2:$C$5,MATCH(V67,Rules!$D$2:$D$5,0)),2)</f>
        <v/>
      </c>
      <c r="AA67" s="2">
        <f>Z67-T67-X67</f>
        <v/>
      </c>
      <c r="AB67" s="3">
        <f>IF(Z67=0,0,AA67/Z67)</f>
        <v/>
      </c>
      <c r="AC67">
        <f>UPPER(LEFT(A67,3)&amp;"-"&amp;LEFT(B67,3)&amp;"-"&amp;TEXT(ROW()-1,"000"))</f>
        <v/>
      </c>
      <c r="AD67">
        <f>INDEX(Rules!$E$2:$E$6,MATCH(O67,Rules!$A$2:$A$6,0))</f>
        <v/>
      </c>
      <c r="AE67" s="2">
        <f>ROUND(AA67*AD67,2)</f>
        <v/>
      </c>
      <c r="AF67">
        <f>RANK(W67,$W$2:$W$181,0)</f>
        <v/>
      </c>
      <c r="AG67">
        <f>IF(AND(AB67&gt;0.18,Y67="LOW"),"PASS",IF(AB67&gt;0.08,"WATCH","FAIL"))</f>
        <v/>
      </c>
      <c r="AH67">
        <f>IFERROR(IF(VLOOKUP(A67,Rules!$G$2:$H$13,2,FALSE)="Priority","Priority Region","Standard Region"),"Standard Region")</f>
        <v/>
      </c>
      <c r="AI67">
        <f>ROUND(SUMPRODUCT(E67:J67,{0.08,0.08,0.15,0.1,0.25,0.34}),2)</f>
        <v/>
      </c>
      <c r="AJ67" s="2">
        <f>ROUND(AE67*INDEX(Rules!$J$2:$J$5,MATCH(MONTH(K67),Rules!$I$2:$I$5,1)),2)</f>
        <v/>
      </c>
    </row>
    <row r="68">
      <c r="A68" t="inlineStr">
        <is>
          <t>Surkhandarya</t>
        </is>
      </c>
      <c r="B68" t="inlineStr">
        <is>
          <t>East-4</t>
        </is>
      </c>
      <c r="C68" t="inlineStr">
        <is>
          <t>Malika Ergasheva</t>
        </is>
      </c>
      <c r="D68" t="n">
        <v>209</v>
      </c>
      <c r="E68" t="n">
        <v>211</v>
      </c>
      <c r="F68" s="2" t="n">
        <v>214</v>
      </c>
      <c r="G68" t="n">
        <v>22</v>
      </c>
      <c r="H68" t="n">
        <v>3</v>
      </c>
      <c r="I68" t="n">
        <v>73</v>
      </c>
      <c r="J68" s="3" t="n">
        <v>1.0096</v>
      </c>
      <c r="K68" s="4" t="inlineStr">
        <is>
          <t>2026-07-01</t>
        </is>
      </c>
      <c r="L68" s="2" t="n">
        <v>96</v>
      </c>
      <c r="M68" s="2" t="n">
        <v>55</v>
      </c>
      <c r="N68" s="3" t="n">
        <v>0.0425</v>
      </c>
      <c r="O68" t="inlineStr">
        <is>
          <t>Tier-3</t>
        </is>
      </c>
      <c r="P68">
        <f>E68-D68</f>
        <v/>
      </c>
      <c r="Q68" s="3">
        <f>IF(D68=0,0,E68/D68-1)</f>
        <v/>
      </c>
      <c r="R68" s="2">
        <f>E68*F68</f>
        <v/>
      </c>
      <c r="S68" s="2">
        <f>H68*(F68*1.5/8)</f>
        <v/>
      </c>
      <c r="T68" s="2">
        <f>R68+S68+L68+M68</f>
        <v/>
      </c>
      <c r="U68">
        <f>IF(G68=0,0,E68/G68)</f>
        <v/>
      </c>
      <c r="V68">
        <f>IF(I68&gt;=95,"A",IF(I68&gt;=85,"B",IF(I68&gt;=75,"C","D")))</f>
        <v/>
      </c>
      <c r="W68">
        <f>ROUND((J68*35)+(I68*0.25)+(U68*0.2)+(IF(Q68&gt;0,100,MAX(0,100+Q68*100))*0.2),2)</f>
        <v/>
      </c>
      <c r="X68" s="2">
        <f>ROUND(T68*N68*IF(V68="A",1.25,IF(V68="B",1.1,IF(V68="C",0.9,0.5))),2)</f>
        <v/>
      </c>
      <c r="Y68">
        <f>IF(OR(I68&lt;80,J68&lt;0.75,E68&lt;D68*0.85),"HIGH",IF(OR(I68&lt;90,J68&lt;0.9),"MEDIUM","LOW"))</f>
        <v/>
      </c>
      <c r="Z68" s="2">
        <f>ROUND(E68*INDEX(Rules!$B$2:$B$6,MATCH(O68,Rules!$A$2:$A$6,0))*INDEX(Rules!$C$2:$C$5,MATCH(V68,Rules!$D$2:$D$5,0)),2)</f>
        <v/>
      </c>
      <c r="AA68" s="2">
        <f>Z68-T68-X68</f>
        <v/>
      </c>
      <c r="AB68" s="3">
        <f>IF(Z68=0,0,AA68/Z68)</f>
        <v/>
      </c>
      <c r="AC68">
        <f>UPPER(LEFT(A68,3)&amp;"-"&amp;LEFT(B68,3)&amp;"-"&amp;TEXT(ROW()-1,"000"))</f>
        <v/>
      </c>
      <c r="AD68">
        <f>INDEX(Rules!$E$2:$E$6,MATCH(O68,Rules!$A$2:$A$6,0))</f>
        <v/>
      </c>
      <c r="AE68" s="2">
        <f>ROUND(AA68*AD68,2)</f>
        <v/>
      </c>
      <c r="AF68">
        <f>RANK(W68,$W$2:$W$181,0)</f>
        <v/>
      </c>
      <c r="AG68">
        <f>IF(AND(AB68&gt;0.18,Y68="LOW"),"PASS",IF(AB68&gt;0.08,"WATCH","FAIL"))</f>
        <v/>
      </c>
      <c r="AH68">
        <f>IFERROR(IF(VLOOKUP(A68,Rules!$G$2:$H$13,2,FALSE)="Priority","Priority Region","Standard Region"),"Standard Region")</f>
        <v/>
      </c>
      <c r="AI68">
        <f>ROUND(SUMPRODUCT(E68:J68,{0.08,0.08,0.15,0.1,0.25,0.34}),2)</f>
        <v/>
      </c>
      <c r="AJ68" s="2">
        <f>ROUND(AE68*INDEX(Rules!$J$2:$J$5,MATCH(MONTH(K68),Rules!$I$2:$I$5,1)),2)</f>
        <v/>
      </c>
    </row>
    <row r="69">
      <c r="A69" t="inlineStr">
        <is>
          <t>Khorezm</t>
        </is>
      </c>
      <c r="B69" t="inlineStr">
        <is>
          <t>West-1</t>
        </is>
      </c>
      <c r="C69" t="inlineStr">
        <is>
          <t>Shahzod Islomov</t>
        </is>
      </c>
      <c r="D69" t="n">
        <v>216</v>
      </c>
      <c r="E69" t="n">
        <v>225</v>
      </c>
      <c r="F69" s="2" t="n">
        <v>223</v>
      </c>
      <c r="G69" t="n">
        <v>23</v>
      </c>
      <c r="H69" t="n">
        <v>6</v>
      </c>
      <c r="I69" t="n">
        <v>78</v>
      </c>
      <c r="J69" s="3" t="n">
        <v>1.0417</v>
      </c>
      <c r="K69" s="4" t="inlineStr">
        <is>
          <t>2026-08-01</t>
        </is>
      </c>
      <c r="L69" s="2" t="n">
        <v>104</v>
      </c>
      <c r="M69" s="2" t="n">
        <v>60</v>
      </c>
      <c r="N69" s="3" t="n">
        <v>0.055</v>
      </c>
      <c r="O69" t="inlineStr">
        <is>
          <t>Tier-4</t>
        </is>
      </c>
      <c r="P69">
        <f>E69-D69</f>
        <v/>
      </c>
      <c r="Q69" s="3">
        <f>IF(D69=0,0,E69/D69-1)</f>
        <v/>
      </c>
      <c r="R69" s="2">
        <f>E69*F69</f>
        <v/>
      </c>
      <c r="S69" s="2">
        <f>H69*(F69*1.5/8)</f>
        <v/>
      </c>
      <c r="T69" s="2">
        <f>R69+S69+L69+M69</f>
        <v/>
      </c>
      <c r="U69">
        <f>IF(G69=0,0,E69/G69)</f>
        <v/>
      </c>
      <c r="V69">
        <f>IF(I69&gt;=95,"A",IF(I69&gt;=85,"B",IF(I69&gt;=75,"C","D")))</f>
        <v/>
      </c>
      <c r="W69">
        <f>ROUND((J69*35)+(I69*0.25)+(U69*0.2)+(IF(Q69&gt;0,100,MAX(0,100+Q69*100))*0.2),2)</f>
        <v/>
      </c>
      <c r="X69" s="2">
        <f>ROUND(T69*N69*IF(V69="A",1.25,IF(V69="B",1.1,IF(V69="C",0.9,0.5))),2)</f>
        <v/>
      </c>
      <c r="Y69">
        <f>IF(OR(I69&lt;80,J69&lt;0.75,E69&lt;D69*0.85),"HIGH",IF(OR(I69&lt;90,J69&lt;0.9),"MEDIUM","LOW"))</f>
        <v/>
      </c>
      <c r="Z69" s="2">
        <f>ROUND(E69*INDEX(Rules!$B$2:$B$6,MATCH(O69,Rules!$A$2:$A$6,0))*INDEX(Rules!$C$2:$C$5,MATCH(V69,Rules!$D$2:$D$5,0)),2)</f>
        <v/>
      </c>
      <c r="AA69" s="2">
        <f>Z69-T69-X69</f>
        <v/>
      </c>
      <c r="AB69" s="3">
        <f>IF(Z69=0,0,AA69/Z69)</f>
        <v/>
      </c>
      <c r="AC69">
        <f>UPPER(LEFT(A69,3)&amp;"-"&amp;LEFT(B69,3)&amp;"-"&amp;TEXT(ROW()-1,"000"))</f>
        <v/>
      </c>
      <c r="AD69">
        <f>INDEX(Rules!$E$2:$E$6,MATCH(O69,Rules!$A$2:$A$6,0))</f>
        <v/>
      </c>
      <c r="AE69" s="2">
        <f>ROUND(AA69*AD69,2)</f>
        <v/>
      </c>
      <c r="AF69">
        <f>RANK(W69,$W$2:$W$181,0)</f>
        <v/>
      </c>
      <c r="AG69">
        <f>IF(AND(AB69&gt;0.18,Y69="LOW"),"PASS",IF(AB69&gt;0.08,"WATCH","FAIL"))</f>
        <v/>
      </c>
      <c r="AH69">
        <f>IFERROR(IF(VLOOKUP(A69,Rules!$G$2:$H$13,2,FALSE)="Priority","Priority Region","Standard Region"),"Standard Region")</f>
        <v/>
      </c>
      <c r="AI69">
        <f>ROUND(SUMPRODUCT(E69:J69,{0.08,0.08,0.15,0.1,0.25,0.34}),2)</f>
        <v/>
      </c>
      <c r="AJ69" s="2">
        <f>ROUND(AE69*INDEX(Rules!$J$2:$J$5,MATCH(MONTH(K69),Rules!$I$2:$I$5,1)),2)</f>
        <v/>
      </c>
    </row>
    <row r="70">
      <c r="A70" t="inlineStr">
        <is>
          <t>Jizzakh</t>
        </is>
      </c>
      <c r="B70" t="inlineStr">
        <is>
          <t>Industrial-2</t>
        </is>
      </c>
      <c r="C70" t="inlineStr">
        <is>
          <t>Nilufar Tursunova</t>
        </is>
      </c>
      <c r="D70" t="n">
        <v>223</v>
      </c>
      <c r="E70" t="n">
        <v>239</v>
      </c>
      <c r="F70" s="2" t="n">
        <v>232</v>
      </c>
      <c r="G70" t="n">
        <v>24</v>
      </c>
      <c r="H70" t="n">
        <v>9</v>
      </c>
      <c r="I70" t="n">
        <v>83</v>
      </c>
      <c r="J70" s="3" t="n">
        <v>1.0717</v>
      </c>
      <c r="K70" s="4" t="inlineStr">
        <is>
          <t>2026-09-01</t>
        </is>
      </c>
      <c r="L70" s="2" t="n">
        <v>112</v>
      </c>
      <c r="M70" s="2" t="n">
        <v>65</v>
      </c>
      <c r="N70" s="3" t="n">
        <v>0.0675</v>
      </c>
      <c r="O70" t="inlineStr">
        <is>
          <t>Tier-5</t>
        </is>
      </c>
      <c r="P70">
        <f>E70-D70</f>
        <v/>
      </c>
      <c r="Q70" s="3">
        <f>IF(D70=0,0,E70/D70-1)</f>
        <v/>
      </c>
      <c r="R70" s="2">
        <f>E70*F70</f>
        <v/>
      </c>
      <c r="S70" s="2">
        <f>H70*(F70*1.5/8)</f>
        <v/>
      </c>
      <c r="T70" s="2">
        <f>R70+S70+L70+M70</f>
        <v/>
      </c>
      <c r="U70">
        <f>IF(G70=0,0,E70/G70)</f>
        <v/>
      </c>
      <c r="V70">
        <f>IF(I70&gt;=95,"A",IF(I70&gt;=85,"B",IF(I70&gt;=75,"C","D")))</f>
        <v/>
      </c>
      <c r="W70">
        <f>ROUND((J70*35)+(I70*0.25)+(U70*0.2)+(IF(Q70&gt;0,100,MAX(0,100+Q70*100))*0.2),2)</f>
        <v/>
      </c>
      <c r="X70" s="2">
        <f>ROUND(T70*N70*IF(V70="A",1.25,IF(V70="B",1.1,IF(V70="C",0.9,0.5))),2)</f>
        <v/>
      </c>
      <c r="Y70">
        <f>IF(OR(I70&lt;80,J70&lt;0.75,E70&lt;D70*0.85),"HIGH",IF(OR(I70&lt;90,J70&lt;0.9),"MEDIUM","LOW"))</f>
        <v/>
      </c>
      <c r="Z70" s="2">
        <f>ROUND(E70*INDEX(Rules!$B$2:$B$6,MATCH(O70,Rules!$A$2:$A$6,0))*INDEX(Rules!$C$2:$C$5,MATCH(V70,Rules!$D$2:$D$5,0)),2)</f>
        <v/>
      </c>
      <c r="AA70" s="2">
        <f>Z70-T70-X70</f>
        <v/>
      </c>
      <c r="AB70" s="3">
        <f>IF(Z70=0,0,AA70/Z70)</f>
        <v/>
      </c>
      <c r="AC70">
        <f>UPPER(LEFT(A70,3)&amp;"-"&amp;LEFT(B70,3)&amp;"-"&amp;TEXT(ROW()-1,"000"))</f>
        <v/>
      </c>
      <c r="AD70">
        <f>INDEX(Rules!$E$2:$E$6,MATCH(O70,Rules!$A$2:$A$6,0))</f>
        <v/>
      </c>
      <c r="AE70" s="2">
        <f>ROUND(AA70*AD70,2)</f>
        <v/>
      </c>
      <c r="AF70">
        <f>RANK(W70,$W$2:$W$181,0)</f>
        <v/>
      </c>
      <c r="AG70">
        <f>IF(AND(AB70&gt;0.18,Y70="LOW"),"PASS",IF(AB70&gt;0.08,"WATCH","FAIL"))</f>
        <v/>
      </c>
      <c r="AH70">
        <f>IFERROR(IF(VLOOKUP(A70,Rules!$G$2:$H$13,2,FALSE)="Priority","Priority Region","Standard Region"),"Standard Region")</f>
        <v/>
      </c>
      <c r="AI70">
        <f>ROUND(SUMPRODUCT(E70:J70,{0.08,0.08,0.15,0.1,0.25,0.34}),2)</f>
        <v/>
      </c>
      <c r="AJ70" s="2">
        <f>ROUND(AE70*INDEX(Rules!$J$2:$J$5,MATCH(MONTH(K70),Rules!$I$2:$I$5,1)),2)</f>
        <v/>
      </c>
    </row>
    <row r="71">
      <c r="A71" t="inlineStr">
        <is>
          <t>Navoi</t>
        </is>
      </c>
      <c r="B71" t="inlineStr">
        <is>
          <t>Rural-3</t>
        </is>
      </c>
      <c r="C71" t="inlineStr">
        <is>
          <t>Sardor Jabborov</t>
        </is>
      </c>
      <c r="D71" t="n">
        <v>230</v>
      </c>
      <c r="E71" t="n">
        <v>248</v>
      </c>
      <c r="F71" s="2" t="n">
        <v>115</v>
      </c>
      <c r="G71" t="n">
        <v>25</v>
      </c>
      <c r="H71" t="n">
        <v>12</v>
      </c>
      <c r="I71" t="n">
        <v>88</v>
      </c>
      <c r="J71" s="3" t="n">
        <v>1.0783</v>
      </c>
      <c r="K71" s="4" t="inlineStr">
        <is>
          <t>2026-10-01</t>
        </is>
      </c>
      <c r="L71" s="2" t="n">
        <v>120</v>
      </c>
      <c r="M71" s="2" t="n">
        <v>20</v>
      </c>
      <c r="N71" s="3" t="n">
        <v>0.08</v>
      </c>
      <c r="O71" t="inlineStr">
        <is>
          <t>Tier-1</t>
        </is>
      </c>
      <c r="P71">
        <f>E71-D71</f>
        <v/>
      </c>
      <c r="Q71" s="3">
        <f>IF(D71=0,0,E71/D71-1)</f>
        <v/>
      </c>
      <c r="R71" s="2">
        <f>E71*F71</f>
        <v/>
      </c>
      <c r="S71" s="2">
        <f>H71*(F71*1.5/8)</f>
        <v/>
      </c>
      <c r="T71" s="2">
        <f>R71+S71+L71+M71</f>
        <v/>
      </c>
      <c r="U71">
        <f>IF(G71=0,0,E71/G71)</f>
        <v/>
      </c>
      <c r="V71">
        <f>IF(I71&gt;=95,"A",IF(I71&gt;=85,"B",IF(I71&gt;=75,"C","D")))</f>
        <v/>
      </c>
      <c r="W71">
        <f>ROUND((J71*35)+(I71*0.25)+(U71*0.2)+(IF(Q71&gt;0,100,MAX(0,100+Q71*100))*0.2),2)</f>
        <v/>
      </c>
      <c r="X71" s="2">
        <f>ROUND(T71*N71*IF(V71="A",1.25,IF(V71="B",1.1,IF(V71="C",0.9,0.5))),2)</f>
        <v/>
      </c>
      <c r="Y71">
        <f>IF(OR(I71&lt;80,J71&lt;0.75,E71&lt;D71*0.85),"HIGH",IF(OR(I71&lt;90,J71&lt;0.9),"MEDIUM","LOW"))</f>
        <v/>
      </c>
      <c r="Z71" s="2">
        <f>ROUND(E71*INDEX(Rules!$B$2:$B$6,MATCH(O71,Rules!$A$2:$A$6,0))*INDEX(Rules!$C$2:$C$5,MATCH(V71,Rules!$D$2:$D$5,0)),2)</f>
        <v/>
      </c>
      <c r="AA71" s="2">
        <f>Z71-T71-X71</f>
        <v/>
      </c>
      <c r="AB71" s="3">
        <f>IF(Z71=0,0,AA71/Z71)</f>
        <v/>
      </c>
      <c r="AC71">
        <f>UPPER(LEFT(A71,3)&amp;"-"&amp;LEFT(B71,3)&amp;"-"&amp;TEXT(ROW()-1,"000"))</f>
        <v/>
      </c>
      <c r="AD71">
        <f>INDEX(Rules!$E$2:$E$6,MATCH(O71,Rules!$A$2:$A$6,0))</f>
        <v/>
      </c>
      <c r="AE71" s="2">
        <f>ROUND(AA71*AD71,2)</f>
        <v/>
      </c>
      <c r="AF71">
        <f>RANK(W71,$W$2:$W$181,0)</f>
        <v/>
      </c>
      <c r="AG71">
        <f>IF(AND(AB71&gt;0.18,Y71="LOW"),"PASS",IF(AB71&gt;0.08,"WATCH","FAIL"))</f>
        <v/>
      </c>
      <c r="AH71">
        <f>IFERROR(IF(VLOOKUP(A71,Rules!$G$2:$H$13,2,FALSE)="Priority","Priority Region","Standard Region"),"Standard Region")</f>
        <v/>
      </c>
      <c r="AI71">
        <f>ROUND(SUMPRODUCT(E71:J71,{0.08,0.08,0.15,0.1,0.25,0.34}),2)</f>
        <v/>
      </c>
      <c r="AJ71" s="2">
        <f>ROUND(AE71*INDEX(Rules!$J$2:$J$5,MATCH(MONTH(K71),Rules!$I$2:$I$5,1)),2)</f>
        <v/>
      </c>
    </row>
    <row r="72">
      <c r="A72" t="inlineStr">
        <is>
          <t>Syrdarya</t>
        </is>
      </c>
      <c r="B72" t="inlineStr">
        <is>
          <t>Urban-4</t>
        </is>
      </c>
      <c r="C72" t="inlineStr">
        <is>
          <t>Kamola Rahimova</t>
        </is>
      </c>
      <c r="D72" t="n">
        <v>237</v>
      </c>
      <c r="E72" t="n">
        <v>262</v>
      </c>
      <c r="F72" s="2" t="n">
        <v>124</v>
      </c>
      <c r="G72" t="n">
        <v>26</v>
      </c>
      <c r="H72" t="n">
        <v>15</v>
      </c>
      <c r="I72" t="n">
        <v>93</v>
      </c>
      <c r="J72" s="3" t="n">
        <v>1.1055</v>
      </c>
      <c r="K72" s="4" t="inlineStr">
        <is>
          <t>2026-11-01</t>
        </is>
      </c>
      <c r="L72" s="2" t="n">
        <v>128</v>
      </c>
      <c r="M72" s="2" t="n">
        <v>25</v>
      </c>
      <c r="N72" s="3" t="n">
        <v>0.0925</v>
      </c>
      <c r="O72" t="inlineStr">
        <is>
          <t>Tier-2</t>
        </is>
      </c>
      <c r="P72">
        <f>E72-D72</f>
        <v/>
      </c>
      <c r="Q72" s="3">
        <f>IF(D72=0,0,E72/D72-1)</f>
        <v/>
      </c>
      <c r="R72" s="2">
        <f>E72*F72</f>
        <v/>
      </c>
      <c r="S72" s="2">
        <f>H72*(F72*1.5/8)</f>
        <v/>
      </c>
      <c r="T72" s="2">
        <f>R72+S72+L72+M72</f>
        <v/>
      </c>
      <c r="U72">
        <f>IF(G72=0,0,E72/G72)</f>
        <v/>
      </c>
      <c r="V72">
        <f>IF(I72&gt;=95,"A",IF(I72&gt;=85,"B",IF(I72&gt;=75,"C","D")))</f>
        <v/>
      </c>
      <c r="W72">
        <f>ROUND((J72*35)+(I72*0.25)+(U72*0.2)+(IF(Q72&gt;0,100,MAX(0,100+Q72*100))*0.2),2)</f>
        <v/>
      </c>
      <c r="X72" s="2">
        <f>ROUND(T72*N72*IF(V72="A",1.25,IF(V72="B",1.1,IF(V72="C",0.9,0.5))),2)</f>
        <v/>
      </c>
      <c r="Y72">
        <f>IF(OR(I72&lt;80,J72&lt;0.75,E72&lt;D72*0.85),"HIGH",IF(OR(I72&lt;90,J72&lt;0.9),"MEDIUM","LOW"))</f>
        <v/>
      </c>
      <c r="Z72" s="2">
        <f>ROUND(E72*INDEX(Rules!$B$2:$B$6,MATCH(O72,Rules!$A$2:$A$6,0))*INDEX(Rules!$C$2:$C$5,MATCH(V72,Rules!$D$2:$D$5,0)),2)</f>
        <v/>
      </c>
      <c r="AA72" s="2">
        <f>Z72-T72-X72</f>
        <v/>
      </c>
      <c r="AB72" s="3">
        <f>IF(Z72=0,0,AA72/Z72)</f>
        <v/>
      </c>
      <c r="AC72">
        <f>UPPER(LEFT(A72,3)&amp;"-"&amp;LEFT(B72,3)&amp;"-"&amp;TEXT(ROW()-1,"000"))</f>
        <v/>
      </c>
      <c r="AD72">
        <f>INDEX(Rules!$E$2:$E$6,MATCH(O72,Rules!$A$2:$A$6,0))</f>
        <v/>
      </c>
      <c r="AE72" s="2">
        <f>ROUND(AA72*AD72,2)</f>
        <v/>
      </c>
      <c r="AF72">
        <f>RANK(W72,$W$2:$W$181,0)</f>
        <v/>
      </c>
      <c r="AG72">
        <f>IF(AND(AB72&gt;0.18,Y72="LOW"),"PASS",IF(AB72&gt;0.08,"WATCH","FAIL"))</f>
        <v/>
      </c>
      <c r="AH72">
        <f>IFERROR(IF(VLOOKUP(A72,Rules!$G$2:$H$13,2,FALSE)="Priority","Priority Region","Standard Region"),"Standard Region")</f>
        <v/>
      </c>
      <c r="AI72">
        <f>ROUND(SUMPRODUCT(E72:J72,{0.08,0.08,0.15,0.1,0.25,0.34}),2)</f>
        <v/>
      </c>
      <c r="AJ72" s="2">
        <f>ROUND(AE72*INDEX(Rules!$J$2:$J$5,MATCH(MONTH(K72),Rules!$I$2:$I$5,1)),2)</f>
        <v/>
      </c>
    </row>
    <row r="73">
      <c r="A73" t="inlineStr">
        <is>
          <t>Tashkent</t>
        </is>
      </c>
      <c r="B73" t="inlineStr">
        <is>
          <t>Central-1</t>
        </is>
      </c>
      <c r="C73" t="inlineStr">
        <is>
          <t>Aziza Karimova</t>
        </is>
      </c>
      <c r="D73" t="n">
        <v>244</v>
      </c>
      <c r="E73" t="n">
        <v>222</v>
      </c>
      <c r="F73" s="2" t="n">
        <v>133</v>
      </c>
      <c r="G73" t="n">
        <v>18</v>
      </c>
      <c r="H73" t="n">
        <v>18</v>
      </c>
      <c r="I73" t="n">
        <v>98</v>
      </c>
      <c r="J73" s="3" t="n">
        <v>0.9098000000000001</v>
      </c>
      <c r="K73" s="4" t="inlineStr">
        <is>
          <t>2026-12-01</t>
        </is>
      </c>
      <c r="L73" s="2" t="n">
        <v>40</v>
      </c>
      <c r="M73" s="2" t="n">
        <v>30</v>
      </c>
      <c r="N73" s="3" t="n">
        <v>0.03</v>
      </c>
      <c r="O73" t="inlineStr">
        <is>
          <t>Tier-3</t>
        </is>
      </c>
      <c r="P73">
        <f>E73-D73</f>
        <v/>
      </c>
      <c r="Q73" s="3">
        <f>IF(D73=0,0,E73/D73-1)</f>
        <v/>
      </c>
      <c r="R73" s="2">
        <f>E73*F73</f>
        <v/>
      </c>
      <c r="S73" s="2">
        <f>H73*(F73*1.5/8)</f>
        <v/>
      </c>
      <c r="T73" s="2">
        <f>R73+S73+L73+M73</f>
        <v/>
      </c>
      <c r="U73">
        <f>IF(G73=0,0,E73/G73)</f>
        <v/>
      </c>
      <c r="V73">
        <f>IF(I73&gt;=95,"A",IF(I73&gt;=85,"B",IF(I73&gt;=75,"C","D")))</f>
        <v/>
      </c>
      <c r="W73">
        <f>ROUND((J73*35)+(I73*0.25)+(U73*0.2)+(IF(Q73&gt;0,100,MAX(0,100+Q73*100))*0.2),2)</f>
        <v/>
      </c>
      <c r="X73" s="2">
        <f>ROUND(T73*N73*IF(V73="A",1.25,IF(V73="B",1.1,IF(V73="C",0.9,0.5))),2)</f>
        <v/>
      </c>
      <c r="Y73">
        <f>IF(OR(I73&lt;80,J73&lt;0.75,E73&lt;D73*0.85),"HIGH",IF(OR(I73&lt;90,J73&lt;0.9),"MEDIUM","LOW"))</f>
        <v/>
      </c>
      <c r="Z73" s="2">
        <f>ROUND(E73*INDEX(Rules!$B$2:$B$6,MATCH(O73,Rules!$A$2:$A$6,0))*INDEX(Rules!$C$2:$C$5,MATCH(V73,Rules!$D$2:$D$5,0)),2)</f>
        <v/>
      </c>
      <c r="AA73" s="2">
        <f>Z73-T73-X73</f>
        <v/>
      </c>
      <c r="AB73" s="3">
        <f>IF(Z73=0,0,AA73/Z73)</f>
        <v/>
      </c>
      <c r="AC73">
        <f>UPPER(LEFT(A73,3)&amp;"-"&amp;LEFT(B73,3)&amp;"-"&amp;TEXT(ROW()-1,"000"))</f>
        <v/>
      </c>
      <c r="AD73">
        <f>INDEX(Rules!$E$2:$E$6,MATCH(O73,Rules!$A$2:$A$6,0))</f>
        <v/>
      </c>
      <c r="AE73" s="2">
        <f>ROUND(AA73*AD73,2)</f>
        <v/>
      </c>
      <c r="AF73">
        <f>RANK(W73,$W$2:$W$181,0)</f>
        <v/>
      </c>
      <c r="AG73">
        <f>IF(AND(AB73&gt;0.18,Y73="LOW"),"PASS",IF(AB73&gt;0.08,"WATCH","FAIL"))</f>
        <v/>
      </c>
      <c r="AH73">
        <f>IFERROR(IF(VLOOKUP(A73,Rules!$G$2:$H$13,2,FALSE)="Priority","Priority Region","Standard Region"),"Standard Region")</f>
        <v/>
      </c>
      <c r="AI73">
        <f>ROUND(SUMPRODUCT(E73:J73,{0.08,0.08,0.15,0.1,0.25,0.34}),2)</f>
        <v/>
      </c>
      <c r="AJ73" s="2">
        <f>ROUND(AE73*INDEX(Rules!$J$2:$J$5,MATCH(MONTH(K73),Rules!$I$2:$I$5,1)),2)</f>
        <v/>
      </c>
    </row>
    <row r="74">
      <c r="A74" t="inlineStr">
        <is>
          <t>Samarkand</t>
        </is>
      </c>
      <c r="B74" t="inlineStr">
        <is>
          <t>North-2</t>
        </is>
      </c>
      <c r="C74" t="inlineStr">
        <is>
          <t>Bekzod Aliyev</t>
        </is>
      </c>
      <c r="D74" t="n">
        <v>81</v>
      </c>
      <c r="E74" t="n">
        <v>66</v>
      </c>
      <c r="F74" s="2" t="n">
        <v>142</v>
      </c>
      <c r="G74" t="n">
        <v>19</v>
      </c>
      <c r="H74" t="n">
        <v>21</v>
      </c>
      <c r="I74" t="n">
        <v>70</v>
      </c>
      <c r="J74" s="3" t="n">
        <v>0.8148</v>
      </c>
      <c r="K74" s="4" t="inlineStr">
        <is>
          <t>2026-01-01</t>
        </is>
      </c>
      <c r="L74" s="2" t="n">
        <v>48</v>
      </c>
      <c r="M74" s="2" t="n">
        <v>35</v>
      </c>
      <c r="N74" s="3" t="n">
        <v>0.0425</v>
      </c>
      <c r="O74" t="inlineStr">
        <is>
          <t>Tier-4</t>
        </is>
      </c>
      <c r="P74">
        <f>E74-D74</f>
        <v/>
      </c>
      <c r="Q74" s="3">
        <f>IF(D74=0,0,E74/D74-1)</f>
        <v/>
      </c>
      <c r="R74" s="2">
        <f>E74*F74</f>
        <v/>
      </c>
      <c r="S74" s="2">
        <f>H74*(F74*1.5/8)</f>
        <v/>
      </c>
      <c r="T74" s="2">
        <f>R74+S74+L74+M74</f>
        <v/>
      </c>
      <c r="U74">
        <f>IF(G74=0,0,E74/G74)</f>
        <v/>
      </c>
      <c r="V74">
        <f>IF(I74&gt;=95,"A",IF(I74&gt;=85,"B",IF(I74&gt;=75,"C","D")))</f>
        <v/>
      </c>
      <c r="W74">
        <f>ROUND((J74*35)+(I74*0.25)+(U74*0.2)+(IF(Q74&gt;0,100,MAX(0,100+Q74*100))*0.2),2)</f>
        <v/>
      </c>
      <c r="X74" s="2">
        <f>ROUND(T74*N74*IF(V74="A",1.25,IF(V74="B",1.1,IF(V74="C",0.9,0.5))),2)</f>
        <v/>
      </c>
      <c r="Y74">
        <f>IF(OR(I74&lt;80,J74&lt;0.75,E74&lt;D74*0.85),"HIGH",IF(OR(I74&lt;90,J74&lt;0.9),"MEDIUM","LOW"))</f>
        <v/>
      </c>
      <c r="Z74" s="2">
        <f>ROUND(E74*INDEX(Rules!$B$2:$B$6,MATCH(O74,Rules!$A$2:$A$6,0))*INDEX(Rules!$C$2:$C$5,MATCH(V74,Rules!$D$2:$D$5,0)),2)</f>
        <v/>
      </c>
      <c r="AA74" s="2">
        <f>Z74-T74-X74</f>
        <v/>
      </c>
      <c r="AB74" s="3">
        <f>IF(Z74=0,0,AA74/Z74)</f>
        <v/>
      </c>
      <c r="AC74">
        <f>UPPER(LEFT(A74,3)&amp;"-"&amp;LEFT(B74,3)&amp;"-"&amp;TEXT(ROW()-1,"000"))</f>
        <v/>
      </c>
      <c r="AD74">
        <f>INDEX(Rules!$E$2:$E$6,MATCH(O74,Rules!$A$2:$A$6,0))</f>
        <v/>
      </c>
      <c r="AE74" s="2">
        <f>ROUND(AA74*AD74,2)</f>
        <v/>
      </c>
      <c r="AF74">
        <f>RANK(W74,$W$2:$W$181,0)</f>
        <v/>
      </c>
      <c r="AG74">
        <f>IF(AND(AB74&gt;0.18,Y74="LOW"),"PASS",IF(AB74&gt;0.08,"WATCH","FAIL"))</f>
        <v/>
      </c>
      <c r="AH74">
        <f>IFERROR(IF(VLOOKUP(A74,Rules!$G$2:$H$13,2,FALSE)="Priority","Priority Region","Standard Region"),"Standard Region")</f>
        <v/>
      </c>
      <c r="AI74">
        <f>ROUND(SUMPRODUCT(E74:J74,{0.08,0.08,0.15,0.1,0.25,0.34}),2)</f>
        <v/>
      </c>
      <c r="AJ74" s="2">
        <f>ROUND(AE74*INDEX(Rules!$J$2:$J$5,MATCH(MONTH(K74),Rules!$I$2:$I$5,1)),2)</f>
        <v/>
      </c>
    </row>
    <row r="75">
      <c r="A75" t="inlineStr">
        <is>
          <t>Bukhara</t>
        </is>
      </c>
      <c r="B75" t="inlineStr">
        <is>
          <t>South-3</t>
        </is>
      </c>
      <c r="C75" t="inlineStr">
        <is>
          <t>Dilshod Rustamov</t>
        </is>
      </c>
      <c r="D75" t="n">
        <v>88</v>
      </c>
      <c r="E75" t="n">
        <v>80</v>
      </c>
      <c r="F75" s="2" t="n">
        <v>151</v>
      </c>
      <c r="G75" t="n">
        <v>20</v>
      </c>
      <c r="H75" t="n">
        <v>2</v>
      </c>
      <c r="I75" t="n">
        <v>75</v>
      </c>
      <c r="J75" s="3" t="n">
        <v>0.9091</v>
      </c>
      <c r="K75" s="4" t="inlineStr">
        <is>
          <t>2026-02-01</t>
        </is>
      </c>
      <c r="L75" s="2" t="n">
        <v>56</v>
      </c>
      <c r="M75" s="2" t="n">
        <v>40</v>
      </c>
      <c r="N75" s="3" t="n">
        <v>0.055</v>
      </c>
      <c r="O75" t="inlineStr">
        <is>
          <t>Tier-5</t>
        </is>
      </c>
      <c r="P75">
        <f>E75-D75</f>
        <v/>
      </c>
      <c r="Q75" s="3">
        <f>IF(D75=0,0,E75/D75-1)</f>
        <v/>
      </c>
      <c r="R75" s="2">
        <f>E75*F75</f>
        <v/>
      </c>
      <c r="S75" s="2">
        <f>H75*(F75*1.5/8)</f>
        <v/>
      </c>
      <c r="T75" s="2">
        <f>R75+S75+L75+M75</f>
        <v/>
      </c>
      <c r="U75">
        <f>IF(G75=0,0,E75/G75)</f>
        <v/>
      </c>
      <c r="V75">
        <f>IF(I75&gt;=95,"A",IF(I75&gt;=85,"B",IF(I75&gt;=75,"C","D")))</f>
        <v/>
      </c>
      <c r="W75">
        <f>ROUND((J75*35)+(I75*0.25)+(U75*0.2)+(IF(Q75&gt;0,100,MAX(0,100+Q75*100))*0.2),2)</f>
        <v/>
      </c>
      <c r="X75" s="2">
        <f>ROUND(T75*N75*IF(V75="A",1.25,IF(V75="B",1.1,IF(V75="C",0.9,0.5))),2)</f>
        <v/>
      </c>
      <c r="Y75">
        <f>IF(OR(I75&lt;80,J75&lt;0.75,E75&lt;D75*0.85),"HIGH",IF(OR(I75&lt;90,J75&lt;0.9),"MEDIUM","LOW"))</f>
        <v/>
      </c>
      <c r="Z75" s="2">
        <f>ROUND(E75*INDEX(Rules!$B$2:$B$6,MATCH(O75,Rules!$A$2:$A$6,0))*INDEX(Rules!$C$2:$C$5,MATCH(V75,Rules!$D$2:$D$5,0)),2)</f>
        <v/>
      </c>
      <c r="AA75" s="2">
        <f>Z75-T75-X75</f>
        <v/>
      </c>
      <c r="AB75" s="3">
        <f>IF(Z75=0,0,AA75/Z75)</f>
        <v/>
      </c>
      <c r="AC75">
        <f>UPPER(LEFT(A75,3)&amp;"-"&amp;LEFT(B75,3)&amp;"-"&amp;TEXT(ROW()-1,"000"))</f>
        <v/>
      </c>
      <c r="AD75">
        <f>INDEX(Rules!$E$2:$E$6,MATCH(O75,Rules!$A$2:$A$6,0))</f>
        <v/>
      </c>
      <c r="AE75" s="2">
        <f>ROUND(AA75*AD75,2)</f>
        <v/>
      </c>
      <c r="AF75">
        <f>RANK(W75,$W$2:$W$181,0)</f>
        <v/>
      </c>
      <c r="AG75">
        <f>IF(AND(AB75&gt;0.18,Y75="LOW"),"PASS",IF(AB75&gt;0.08,"WATCH","FAIL"))</f>
        <v/>
      </c>
      <c r="AH75">
        <f>IFERROR(IF(VLOOKUP(A75,Rules!$G$2:$H$13,2,FALSE)="Priority","Priority Region","Standard Region"),"Standard Region")</f>
        <v/>
      </c>
      <c r="AI75">
        <f>ROUND(SUMPRODUCT(E75:J75,{0.08,0.08,0.15,0.1,0.25,0.34}),2)</f>
        <v/>
      </c>
      <c r="AJ75" s="2">
        <f>ROUND(AE75*INDEX(Rules!$J$2:$J$5,MATCH(MONTH(K75),Rules!$I$2:$I$5,1)),2)</f>
        <v/>
      </c>
    </row>
    <row r="76">
      <c r="A76" t="inlineStr">
        <is>
          <t>Andijan</t>
        </is>
      </c>
      <c r="B76" t="inlineStr">
        <is>
          <t>East-4</t>
        </is>
      </c>
      <c r="C76" t="inlineStr">
        <is>
          <t>Malika Ergasheva</t>
        </is>
      </c>
      <c r="D76" t="n">
        <v>95</v>
      </c>
      <c r="E76" t="n">
        <v>89</v>
      </c>
      <c r="F76" s="2" t="n">
        <v>160</v>
      </c>
      <c r="G76" t="n">
        <v>21</v>
      </c>
      <c r="H76" t="n">
        <v>5</v>
      </c>
      <c r="I76" t="n">
        <v>80</v>
      </c>
      <c r="J76" s="3" t="n">
        <v>0.9368</v>
      </c>
      <c r="K76" s="4" t="inlineStr">
        <is>
          <t>2026-03-01</t>
        </is>
      </c>
      <c r="L76" s="2" t="n">
        <v>64</v>
      </c>
      <c r="M76" s="2" t="n">
        <v>45</v>
      </c>
      <c r="N76" s="3" t="n">
        <v>0.0675</v>
      </c>
      <c r="O76" t="inlineStr">
        <is>
          <t>Tier-1</t>
        </is>
      </c>
      <c r="P76">
        <f>E76-D76</f>
        <v/>
      </c>
      <c r="Q76" s="3">
        <f>IF(D76=0,0,E76/D76-1)</f>
        <v/>
      </c>
      <c r="R76" s="2">
        <f>E76*F76</f>
        <v/>
      </c>
      <c r="S76" s="2">
        <f>H76*(F76*1.5/8)</f>
        <v/>
      </c>
      <c r="T76" s="2">
        <f>R76+S76+L76+M76</f>
        <v/>
      </c>
      <c r="U76">
        <f>IF(G76=0,0,E76/G76)</f>
        <v/>
      </c>
      <c r="V76">
        <f>IF(I76&gt;=95,"A",IF(I76&gt;=85,"B",IF(I76&gt;=75,"C","D")))</f>
        <v/>
      </c>
      <c r="W76">
        <f>ROUND((J76*35)+(I76*0.25)+(U76*0.2)+(IF(Q76&gt;0,100,MAX(0,100+Q76*100))*0.2),2)</f>
        <v/>
      </c>
      <c r="X76" s="2">
        <f>ROUND(T76*N76*IF(V76="A",1.25,IF(V76="B",1.1,IF(V76="C",0.9,0.5))),2)</f>
        <v/>
      </c>
      <c r="Y76">
        <f>IF(OR(I76&lt;80,J76&lt;0.75,E76&lt;D76*0.85),"HIGH",IF(OR(I76&lt;90,J76&lt;0.9),"MEDIUM","LOW"))</f>
        <v/>
      </c>
      <c r="Z76" s="2">
        <f>ROUND(E76*INDEX(Rules!$B$2:$B$6,MATCH(O76,Rules!$A$2:$A$6,0))*INDEX(Rules!$C$2:$C$5,MATCH(V76,Rules!$D$2:$D$5,0)),2)</f>
        <v/>
      </c>
      <c r="AA76" s="2">
        <f>Z76-T76-X76</f>
        <v/>
      </c>
      <c r="AB76" s="3">
        <f>IF(Z76=0,0,AA76/Z76)</f>
        <v/>
      </c>
      <c r="AC76">
        <f>UPPER(LEFT(A76,3)&amp;"-"&amp;LEFT(B76,3)&amp;"-"&amp;TEXT(ROW()-1,"000"))</f>
        <v/>
      </c>
      <c r="AD76">
        <f>INDEX(Rules!$E$2:$E$6,MATCH(O76,Rules!$A$2:$A$6,0))</f>
        <v/>
      </c>
      <c r="AE76" s="2">
        <f>ROUND(AA76*AD76,2)</f>
        <v/>
      </c>
      <c r="AF76">
        <f>RANK(W76,$W$2:$W$181,0)</f>
        <v/>
      </c>
      <c r="AG76">
        <f>IF(AND(AB76&gt;0.18,Y76="LOW"),"PASS",IF(AB76&gt;0.08,"WATCH","FAIL"))</f>
        <v/>
      </c>
      <c r="AH76">
        <f>IFERROR(IF(VLOOKUP(A76,Rules!$G$2:$H$13,2,FALSE)="Priority","Priority Region","Standard Region"),"Standard Region")</f>
        <v/>
      </c>
      <c r="AI76">
        <f>ROUND(SUMPRODUCT(E76:J76,{0.08,0.08,0.15,0.1,0.25,0.34}),2)</f>
        <v/>
      </c>
      <c r="AJ76" s="2">
        <f>ROUND(AE76*INDEX(Rules!$J$2:$J$5,MATCH(MONTH(K76),Rules!$I$2:$I$5,1)),2)</f>
        <v/>
      </c>
    </row>
    <row r="77">
      <c r="A77" t="inlineStr">
        <is>
          <t>Namangan</t>
        </is>
      </c>
      <c r="B77" t="inlineStr">
        <is>
          <t>West-1</t>
        </is>
      </c>
      <c r="C77" t="inlineStr">
        <is>
          <t>Shahzod Islomov</t>
        </is>
      </c>
      <c r="D77" t="n">
        <v>102</v>
      </c>
      <c r="E77" t="n">
        <v>103</v>
      </c>
      <c r="F77" s="2" t="n">
        <v>169</v>
      </c>
      <c r="G77" t="n">
        <v>22</v>
      </c>
      <c r="H77" t="n">
        <v>8</v>
      </c>
      <c r="I77" t="n">
        <v>85</v>
      </c>
      <c r="J77" s="3" t="n">
        <v>1.0098</v>
      </c>
      <c r="K77" s="4" t="inlineStr">
        <is>
          <t>2026-04-01</t>
        </is>
      </c>
      <c r="L77" s="2" t="n">
        <v>72</v>
      </c>
      <c r="M77" s="2" t="n">
        <v>50</v>
      </c>
      <c r="N77" s="3" t="n">
        <v>0.08</v>
      </c>
      <c r="O77" t="inlineStr">
        <is>
          <t>Tier-2</t>
        </is>
      </c>
      <c r="P77">
        <f>E77-D77</f>
        <v/>
      </c>
      <c r="Q77" s="3">
        <f>IF(D77=0,0,E77/D77-1)</f>
        <v/>
      </c>
      <c r="R77" s="2">
        <f>E77*F77</f>
        <v/>
      </c>
      <c r="S77" s="2">
        <f>H77*(F77*1.5/8)</f>
        <v/>
      </c>
      <c r="T77" s="2">
        <f>R77+S77+L77+M77</f>
        <v/>
      </c>
      <c r="U77">
        <f>IF(G77=0,0,E77/G77)</f>
        <v/>
      </c>
      <c r="V77">
        <f>IF(I77&gt;=95,"A",IF(I77&gt;=85,"B",IF(I77&gt;=75,"C","D")))</f>
        <v/>
      </c>
      <c r="W77">
        <f>ROUND((J77*35)+(I77*0.25)+(U77*0.2)+(IF(Q77&gt;0,100,MAX(0,100+Q77*100))*0.2),2)</f>
        <v/>
      </c>
      <c r="X77" s="2">
        <f>ROUND(T77*N77*IF(V77="A",1.25,IF(V77="B",1.1,IF(V77="C",0.9,0.5))),2)</f>
        <v/>
      </c>
      <c r="Y77">
        <f>IF(OR(I77&lt;80,J77&lt;0.75,E77&lt;D77*0.85),"HIGH",IF(OR(I77&lt;90,J77&lt;0.9),"MEDIUM","LOW"))</f>
        <v/>
      </c>
      <c r="Z77" s="2">
        <f>ROUND(E77*INDEX(Rules!$B$2:$B$6,MATCH(O77,Rules!$A$2:$A$6,0))*INDEX(Rules!$C$2:$C$5,MATCH(V77,Rules!$D$2:$D$5,0)),2)</f>
        <v/>
      </c>
      <c r="AA77" s="2">
        <f>Z77-T77-X77</f>
        <v/>
      </c>
      <c r="AB77" s="3">
        <f>IF(Z77=0,0,AA77/Z77)</f>
        <v/>
      </c>
      <c r="AC77">
        <f>UPPER(LEFT(A77,3)&amp;"-"&amp;LEFT(B77,3)&amp;"-"&amp;TEXT(ROW()-1,"000"))</f>
        <v/>
      </c>
      <c r="AD77">
        <f>INDEX(Rules!$E$2:$E$6,MATCH(O77,Rules!$A$2:$A$6,0))</f>
        <v/>
      </c>
      <c r="AE77" s="2">
        <f>ROUND(AA77*AD77,2)</f>
        <v/>
      </c>
      <c r="AF77">
        <f>RANK(W77,$W$2:$W$181,0)</f>
        <v/>
      </c>
      <c r="AG77">
        <f>IF(AND(AB77&gt;0.18,Y77="LOW"),"PASS",IF(AB77&gt;0.08,"WATCH","FAIL"))</f>
        <v/>
      </c>
      <c r="AH77">
        <f>IFERROR(IF(VLOOKUP(A77,Rules!$G$2:$H$13,2,FALSE)="Priority","Priority Region","Standard Region"),"Standard Region")</f>
        <v/>
      </c>
      <c r="AI77">
        <f>ROUND(SUMPRODUCT(E77:J77,{0.08,0.08,0.15,0.1,0.25,0.34}),2)</f>
        <v/>
      </c>
      <c r="AJ77" s="2">
        <f>ROUND(AE77*INDEX(Rules!$J$2:$J$5,MATCH(MONTH(K77),Rules!$I$2:$I$5,1)),2)</f>
        <v/>
      </c>
    </row>
    <row r="78">
      <c r="A78" t="inlineStr">
        <is>
          <t>Fergana</t>
        </is>
      </c>
      <c r="B78" t="inlineStr">
        <is>
          <t>Industrial-2</t>
        </is>
      </c>
      <c r="C78" t="inlineStr">
        <is>
          <t>Nilufar Tursunova</t>
        </is>
      </c>
      <c r="D78" t="n">
        <v>109</v>
      </c>
      <c r="E78" t="n">
        <v>117</v>
      </c>
      <c r="F78" s="2" t="n">
        <v>178</v>
      </c>
      <c r="G78" t="n">
        <v>23</v>
      </c>
      <c r="H78" t="n">
        <v>11</v>
      </c>
      <c r="I78" t="n">
        <v>90</v>
      </c>
      <c r="J78" s="3" t="n">
        <v>1.0734</v>
      </c>
      <c r="K78" s="4" t="inlineStr">
        <is>
          <t>2026-05-01</t>
        </is>
      </c>
      <c r="L78" s="2" t="n">
        <v>80</v>
      </c>
      <c r="M78" s="2" t="n">
        <v>55</v>
      </c>
      <c r="N78" s="3" t="n">
        <v>0.0925</v>
      </c>
      <c r="O78" t="inlineStr">
        <is>
          <t>Tier-3</t>
        </is>
      </c>
      <c r="P78">
        <f>E78-D78</f>
        <v/>
      </c>
      <c r="Q78" s="3">
        <f>IF(D78=0,0,E78/D78-1)</f>
        <v/>
      </c>
      <c r="R78" s="2">
        <f>E78*F78</f>
        <v/>
      </c>
      <c r="S78" s="2">
        <f>H78*(F78*1.5/8)</f>
        <v/>
      </c>
      <c r="T78" s="2">
        <f>R78+S78+L78+M78</f>
        <v/>
      </c>
      <c r="U78">
        <f>IF(G78=0,0,E78/G78)</f>
        <v/>
      </c>
      <c r="V78">
        <f>IF(I78&gt;=95,"A",IF(I78&gt;=85,"B",IF(I78&gt;=75,"C","D")))</f>
        <v/>
      </c>
      <c r="W78">
        <f>ROUND((J78*35)+(I78*0.25)+(U78*0.2)+(IF(Q78&gt;0,100,MAX(0,100+Q78*100))*0.2),2)</f>
        <v/>
      </c>
      <c r="X78" s="2">
        <f>ROUND(T78*N78*IF(V78="A",1.25,IF(V78="B",1.1,IF(V78="C",0.9,0.5))),2)</f>
        <v/>
      </c>
      <c r="Y78">
        <f>IF(OR(I78&lt;80,J78&lt;0.75,E78&lt;D78*0.85),"HIGH",IF(OR(I78&lt;90,J78&lt;0.9),"MEDIUM","LOW"))</f>
        <v/>
      </c>
      <c r="Z78" s="2">
        <f>ROUND(E78*INDEX(Rules!$B$2:$B$6,MATCH(O78,Rules!$A$2:$A$6,0))*INDEX(Rules!$C$2:$C$5,MATCH(V78,Rules!$D$2:$D$5,0)),2)</f>
        <v/>
      </c>
      <c r="AA78" s="2">
        <f>Z78-T78-X78</f>
        <v/>
      </c>
      <c r="AB78" s="3">
        <f>IF(Z78=0,0,AA78/Z78)</f>
        <v/>
      </c>
      <c r="AC78">
        <f>UPPER(LEFT(A78,3)&amp;"-"&amp;LEFT(B78,3)&amp;"-"&amp;TEXT(ROW()-1,"000"))</f>
        <v/>
      </c>
      <c r="AD78">
        <f>INDEX(Rules!$E$2:$E$6,MATCH(O78,Rules!$A$2:$A$6,0))</f>
        <v/>
      </c>
      <c r="AE78" s="2">
        <f>ROUND(AA78*AD78,2)</f>
        <v/>
      </c>
      <c r="AF78">
        <f>RANK(W78,$W$2:$W$181,0)</f>
        <v/>
      </c>
      <c r="AG78">
        <f>IF(AND(AB78&gt;0.18,Y78="LOW"),"PASS",IF(AB78&gt;0.08,"WATCH","FAIL"))</f>
        <v/>
      </c>
      <c r="AH78">
        <f>IFERROR(IF(VLOOKUP(A78,Rules!$G$2:$H$13,2,FALSE)="Priority","Priority Region","Standard Region"),"Standard Region")</f>
        <v/>
      </c>
      <c r="AI78">
        <f>ROUND(SUMPRODUCT(E78:J78,{0.08,0.08,0.15,0.1,0.25,0.34}),2)</f>
        <v/>
      </c>
      <c r="AJ78" s="2">
        <f>ROUND(AE78*INDEX(Rules!$J$2:$J$5,MATCH(MONTH(K78),Rules!$I$2:$I$5,1)),2)</f>
        <v/>
      </c>
    </row>
    <row r="79">
      <c r="A79" t="inlineStr">
        <is>
          <t>Kashkadarya</t>
        </is>
      </c>
      <c r="B79" t="inlineStr">
        <is>
          <t>Rural-3</t>
        </is>
      </c>
      <c r="C79" t="inlineStr">
        <is>
          <t>Sardor Jabborov</t>
        </is>
      </c>
      <c r="D79" t="n">
        <v>116</v>
      </c>
      <c r="E79" t="n">
        <v>131</v>
      </c>
      <c r="F79" s="2" t="n">
        <v>187</v>
      </c>
      <c r="G79" t="n">
        <v>24</v>
      </c>
      <c r="H79" t="n">
        <v>14</v>
      </c>
      <c r="I79" t="n">
        <v>95</v>
      </c>
      <c r="J79" s="3" t="n">
        <v>1.1293</v>
      </c>
      <c r="K79" s="4" t="inlineStr">
        <is>
          <t>2026-06-01</t>
        </is>
      </c>
      <c r="L79" s="2" t="n">
        <v>88</v>
      </c>
      <c r="M79" s="2" t="n">
        <v>60</v>
      </c>
      <c r="N79" s="3" t="n">
        <v>0.03</v>
      </c>
      <c r="O79" t="inlineStr">
        <is>
          <t>Tier-4</t>
        </is>
      </c>
      <c r="P79">
        <f>E79-D79</f>
        <v/>
      </c>
      <c r="Q79" s="3">
        <f>IF(D79=0,0,E79/D79-1)</f>
        <v/>
      </c>
      <c r="R79" s="2">
        <f>E79*F79</f>
        <v/>
      </c>
      <c r="S79" s="2">
        <f>H79*(F79*1.5/8)</f>
        <v/>
      </c>
      <c r="T79" s="2">
        <f>R79+S79+L79+M79</f>
        <v/>
      </c>
      <c r="U79">
        <f>IF(G79=0,0,E79/G79)</f>
        <v/>
      </c>
      <c r="V79">
        <f>IF(I79&gt;=95,"A",IF(I79&gt;=85,"B",IF(I79&gt;=75,"C","D")))</f>
        <v/>
      </c>
      <c r="W79">
        <f>ROUND((J79*35)+(I79*0.25)+(U79*0.2)+(IF(Q79&gt;0,100,MAX(0,100+Q79*100))*0.2),2)</f>
        <v/>
      </c>
      <c r="X79" s="2">
        <f>ROUND(T79*N79*IF(V79="A",1.25,IF(V79="B",1.1,IF(V79="C",0.9,0.5))),2)</f>
        <v/>
      </c>
      <c r="Y79">
        <f>IF(OR(I79&lt;80,J79&lt;0.75,E79&lt;D79*0.85),"HIGH",IF(OR(I79&lt;90,J79&lt;0.9),"MEDIUM","LOW"))</f>
        <v/>
      </c>
      <c r="Z79" s="2">
        <f>ROUND(E79*INDEX(Rules!$B$2:$B$6,MATCH(O79,Rules!$A$2:$A$6,0))*INDEX(Rules!$C$2:$C$5,MATCH(V79,Rules!$D$2:$D$5,0)),2)</f>
        <v/>
      </c>
      <c r="AA79" s="2">
        <f>Z79-T79-X79</f>
        <v/>
      </c>
      <c r="AB79" s="3">
        <f>IF(Z79=0,0,AA79/Z79)</f>
        <v/>
      </c>
      <c r="AC79">
        <f>UPPER(LEFT(A79,3)&amp;"-"&amp;LEFT(B79,3)&amp;"-"&amp;TEXT(ROW()-1,"000"))</f>
        <v/>
      </c>
      <c r="AD79">
        <f>INDEX(Rules!$E$2:$E$6,MATCH(O79,Rules!$A$2:$A$6,0))</f>
        <v/>
      </c>
      <c r="AE79" s="2">
        <f>ROUND(AA79*AD79,2)</f>
        <v/>
      </c>
      <c r="AF79">
        <f>RANK(W79,$W$2:$W$181,0)</f>
        <v/>
      </c>
      <c r="AG79">
        <f>IF(AND(AB79&gt;0.18,Y79="LOW"),"PASS",IF(AB79&gt;0.08,"WATCH","FAIL"))</f>
        <v/>
      </c>
      <c r="AH79">
        <f>IFERROR(IF(VLOOKUP(A79,Rules!$G$2:$H$13,2,FALSE)="Priority","Priority Region","Standard Region"),"Standard Region")</f>
        <v/>
      </c>
      <c r="AI79">
        <f>ROUND(SUMPRODUCT(E79:J79,{0.08,0.08,0.15,0.1,0.25,0.34}),2)</f>
        <v/>
      </c>
      <c r="AJ79" s="2">
        <f>ROUND(AE79*INDEX(Rules!$J$2:$J$5,MATCH(MONTH(K79),Rules!$I$2:$I$5,1)),2)</f>
        <v/>
      </c>
    </row>
    <row r="80">
      <c r="A80" t="inlineStr">
        <is>
          <t>Surkhandarya</t>
        </is>
      </c>
      <c r="B80" t="inlineStr">
        <is>
          <t>Urban-4</t>
        </is>
      </c>
      <c r="C80" t="inlineStr">
        <is>
          <t>Kamola Rahimova</t>
        </is>
      </c>
      <c r="D80" t="n">
        <v>123</v>
      </c>
      <c r="E80" t="n">
        <v>145</v>
      </c>
      <c r="F80" s="2" t="n">
        <v>196</v>
      </c>
      <c r="G80" t="n">
        <v>25</v>
      </c>
      <c r="H80" t="n">
        <v>17</v>
      </c>
      <c r="I80" t="n">
        <v>100</v>
      </c>
      <c r="J80" s="3" t="n">
        <v>1.1789</v>
      </c>
      <c r="K80" s="4" t="inlineStr">
        <is>
          <t>2026-07-01</t>
        </is>
      </c>
      <c r="L80" s="2" t="n">
        <v>96</v>
      </c>
      <c r="M80" s="2" t="n">
        <v>65</v>
      </c>
      <c r="N80" s="3" t="n">
        <v>0.0425</v>
      </c>
      <c r="O80" t="inlineStr">
        <is>
          <t>Tier-5</t>
        </is>
      </c>
      <c r="P80">
        <f>E80-D80</f>
        <v/>
      </c>
      <c r="Q80" s="3">
        <f>IF(D80=0,0,E80/D80-1)</f>
        <v/>
      </c>
      <c r="R80" s="2">
        <f>E80*F80</f>
        <v/>
      </c>
      <c r="S80" s="2">
        <f>H80*(F80*1.5/8)</f>
        <v/>
      </c>
      <c r="T80" s="2">
        <f>R80+S80+L80+M80</f>
        <v/>
      </c>
      <c r="U80">
        <f>IF(G80=0,0,E80/G80)</f>
        <v/>
      </c>
      <c r="V80">
        <f>IF(I80&gt;=95,"A",IF(I80&gt;=85,"B",IF(I80&gt;=75,"C","D")))</f>
        <v/>
      </c>
      <c r="W80">
        <f>ROUND((J80*35)+(I80*0.25)+(U80*0.2)+(IF(Q80&gt;0,100,MAX(0,100+Q80*100))*0.2),2)</f>
        <v/>
      </c>
      <c r="X80" s="2">
        <f>ROUND(T80*N80*IF(V80="A",1.25,IF(V80="B",1.1,IF(V80="C",0.9,0.5))),2)</f>
        <v/>
      </c>
      <c r="Y80">
        <f>IF(OR(I80&lt;80,J80&lt;0.75,E80&lt;D80*0.85),"HIGH",IF(OR(I80&lt;90,J80&lt;0.9),"MEDIUM","LOW"))</f>
        <v/>
      </c>
      <c r="Z80" s="2">
        <f>ROUND(E80*INDEX(Rules!$B$2:$B$6,MATCH(O80,Rules!$A$2:$A$6,0))*INDEX(Rules!$C$2:$C$5,MATCH(V80,Rules!$D$2:$D$5,0)),2)</f>
        <v/>
      </c>
      <c r="AA80" s="2">
        <f>Z80-T80-X80</f>
        <v/>
      </c>
      <c r="AB80" s="3">
        <f>IF(Z80=0,0,AA80/Z80)</f>
        <v/>
      </c>
      <c r="AC80">
        <f>UPPER(LEFT(A80,3)&amp;"-"&amp;LEFT(B80,3)&amp;"-"&amp;TEXT(ROW()-1,"000"))</f>
        <v/>
      </c>
      <c r="AD80">
        <f>INDEX(Rules!$E$2:$E$6,MATCH(O80,Rules!$A$2:$A$6,0))</f>
        <v/>
      </c>
      <c r="AE80" s="2">
        <f>ROUND(AA80*AD80,2)</f>
        <v/>
      </c>
      <c r="AF80">
        <f>RANK(W80,$W$2:$W$181,0)</f>
        <v/>
      </c>
      <c r="AG80">
        <f>IF(AND(AB80&gt;0.18,Y80="LOW"),"PASS",IF(AB80&gt;0.08,"WATCH","FAIL"))</f>
        <v/>
      </c>
      <c r="AH80">
        <f>IFERROR(IF(VLOOKUP(A80,Rules!$G$2:$H$13,2,FALSE)="Priority","Priority Region","Standard Region"),"Standard Region")</f>
        <v/>
      </c>
      <c r="AI80">
        <f>ROUND(SUMPRODUCT(E80:J80,{0.08,0.08,0.15,0.1,0.25,0.34}),2)</f>
        <v/>
      </c>
      <c r="AJ80" s="2">
        <f>ROUND(AE80*INDEX(Rules!$J$2:$J$5,MATCH(MONTH(K80),Rules!$I$2:$I$5,1)),2)</f>
        <v/>
      </c>
    </row>
    <row r="81">
      <c r="A81" t="inlineStr">
        <is>
          <t>Khorezm</t>
        </is>
      </c>
      <c r="B81" t="inlineStr">
        <is>
          <t>Central-1</t>
        </is>
      </c>
      <c r="C81" t="inlineStr">
        <is>
          <t>Aziza Karimova</t>
        </is>
      </c>
      <c r="D81" t="n">
        <v>130</v>
      </c>
      <c r="E81" t="n">
        <v>154</v>
      </c>
      <c r="F81" s="2" t="n">
        <v>205</v>
      </c>
      <c r="G81" t="n">
        <v>26</v>
      </c>
      <c r="H81" t="n">
        <v>20</v>
      </c>
      <c r="I81" t="n">
        <v>72</v>
      </c>
      <c r="J81" s="3" t="n">
        <v>1.1846</v>
      </c>
      <c r="K81" s="4" t="inlineStr">
        <is>
          <t>2026-08-01</t>
        </is>
      </c>
      <c r="L81" s="2" t="n">
        <v>104</v>
      </c>
      <c r="M81" s="2" t="n">
        <v>20</v>
      </c>
      <c r="N81" s="3" t="n">
        <v>0.055</v>
      </c>
      <c r="O81" t="inlineStr">
        <is>
          <t>Tier-1</t>
        </is>
      </c>
      <c r="P81">
        <f>E81-D81</f>
        <v/>
      </c>
      <c r="Q81" s="3">
        <f>IF(D81=0,0,E81/D81-1)</f>
        <v/>
      </c>
      <c r="R81" s="2">
        <f>E81*F81</f>
        <v/>
      </c>
      <c r="S81" s="2">
        <f>H81*(F81*1.5/8)</f>
        <v/>
      </c>
      <c r="T81" s="2">
        <f>R81+S81+L81+M81</f>
        <v/>
      </c>
      <c r="U81">
        <f>IF(G81=0,0,E81/G81)</f>
        <v/>
      </c>
      <c r="V81">
        <f>IF(I81&gt;=95,"A",IF(I81&gt;=85,"B",IF(I81&gt;=75,"C","D")))</f>
        <v/>
      </c>
      <c r="W81">
        <f>ROUND((J81*35)+(I81*0.25)+(U81*0.2)+(IF(Q81&gt;0,100,MAX(0,100+Q81*100))*0.2),2)</f>
        <v/>
      </c>
      <c r="X81" s="2">
        <f>ROUND(T81*N81*IF(V81="A",1.25,IF(V81="B",1.1,IF(V81="C",0.9,0.5))),2)</f>
        <v/>
      </c>
      <c r="Y81">
        <f>IF(OR(I81&lt;80,J81&lt;0.75,E81&lt;D81*0.85),"HIGH",IF(OR(I81&lt;90,J81&lt;0.9),"MEDIUM","LOW"))</f>
        <v/>
      </c>
      <c r="Z81" s="2">
        <f>ROUND(E81*INDEX(Rules!$B$2:$B$6,MATCH(O81,Rules!$A$2:$A$6,0))*INDEX(Rules!$C$2:$C$5,MATCH(V81,Rules!$D$2:$D$5,0)),2)</f>
        <v/>
      </c>
      <c r="AA81" s="2">
        <f>Z81-T81-X81</f>
        <v/>
      </c>
      <c r="AB81" s="3">
        <f>IF(Z81=0,0,AA81/Z81)</f>
        <v/>
      </c>
      <c r="AC81">
        <f>UPPER(LEFT(A81,3)&amp;"-"&amp;LEFT(B81,3)&amp;"-"&amp;TEXT(ROW()-1,"000"))</f>
        <v/>
      </c>
      <c r="AD81">
        <f>INDEX(Rules!$E$2:$E$6,MATCH(O81,Rules!$A$2:$A$6,0))</f>
        <v/>
      </c>
      <c r="AE81" s="2">
        <f>ROUND(AA81*AD81,2)</f>
        <v/>
      </c>
      <c r="AF81">
        <f>RANK(W81,$W$2:$W$181,0)</f>
        <v/>
      </c>
      <c r="AG81">
        <f>IF(AND(AB81&gt;0.18,Y81="LOW"),"PASS",IF(AB81&gt;0.08,"WATCH","FAIL"))</f>
        <v/>
      </c>
      <c r="AH81">
        <f>IFERROR(IF(VLOOKUP(A81,Rules!$G$2:$H$13,2,FALSE)="Priority","Priority Region","Standard Region"),"Standard Region")</f>
        <v/>
      </c>
      <c r="AI81">
        <f>ROUND(SUMPRODUCT(E81:J81,{0.08,0.08,0.15,0.1,0.25,0.34}),2)</f>
        <v/>
      </c>
      <c r="AJ81" s="2">
        <f>ROUND(AE81*INDEX(Rules!$J$2:$J$5,MATCH(MONTH(K81),Rules!$I$2:$I$5,1)),2)</f>
        <v/>
      </c>
    </row>
    <row r="82">
      <c r="A82" t="inlineStr">
        <is>
          <t>Jizzakh</t>
        </is>
      </c>
      <c r="B82" t="inlineStr">
        <is>
          <t>North-2</t>
        </is>
      </c>
      <c r="C82" t="inlineStr">
        <is>
          <t>Bekzod Aliyev</t>
        </is>
      </c>
      <c r="D82" t="n">
        <v>137</v>
      </c>
      <c r="E82" t="n">
        <v>114</v>
      </c>
      <c r="F82" s="2" t="n">
        <v>214</v>
      </c>
      <c r="G82" t="n">
        <v>18</v>
      </c>
      <c r="H82" t="n">
        <v>1</v>
      </c>
      <c r="I82" t="n">
        <v>77</v>
      </c>
      <c r="J82" s="3" t="n">
        <v>0.8321</v>
      </c>
      <c r="K82" s="4" t="inlineStr">
        <is>
          <t>2026-09-01</t>
        </is>
      </c>
      <c r="L82" s="2" t="n">
        <v>112</v>
      </c>
      <c r="M82" s="2" t="n">
        <v>25</v>
      </c>
      <c r="N82" s="3" t="n">
        <v>0.0675</v>
      </c>
      <c r="O82" t="inlineStr">
        <is>
          <t>Tier-2</t>
        </is>
      </c>
      <c r="P82">
        <f>E82-D82</f>
        <v/>
      </c>
      <c r="Q82" s="3">
        <f>IF(D82=0,0,E82/D82-1)</f>
        <v/>
      </c>
      <c r="R82" s="2">
        <f>E82*F82</f>
        <v/>
      </c>
      <c r="S82" s="2">
        <f>H82*(F82*1.5/8)</f>
        <v/>
      </c>
      <c r="T82" s="2">
        <f>R82+S82+L82+M82</f>
        <v/>
      </c>
      <c r="U82">
        <f>IF(G82=0,0,E82/G82)</f>
        <v/>
      </c>
      <c r="V82">
        <f>IF(I82&gt;=95,"A",IF(I82&gt;=85,"B",IF(I82&gt;=75,"C","D")))</f>
        <v/>
      </c>
      <c r="W82">
        <f>ROUND((J82*35)+(I82*0.25)+(U82*0.2)+(IF(Q82&gt;0,100,MAX(0,100+Q82*100))*0.2),2)</f>
        <v/>
      </c>
      <c r="X82" s="2">
        <f>ROUND(T82*N82*IF(V82="A",1.25,IF(V82="B",1.1,IF(V82="C",0.9,0.5))),2)</f>
        <v/>
      </c>
      <c r="Y82">
        <f>IF(OR(I82&lt;80,J82&lt;0.75,E82&lt;D82*0.85),"HIGH",IF(OR(I82&lt;90,J82&lt;0.9),"MEDIUM","LOW"))</f>
        <v/>
      </c>
      <c r="Z82" s="2">
        <f>ROUND(E82*INDEX(Rules!$B$2:$B$6,MATCH(O82,Rules!$A$2:$A$6,0))*INDEX(Rules!$C$2:$C$5,MATCH(V82,Rules!$D$2:$D$5,0)),2)</f>
        <v/>
      </c>
      <c r="AA82" s="2">
        <f>Z82-T82-X82</f>
        <v/>
      </c>
      <c r="AB82" s="3">
        <f>IF(Z82=0,0,AA82/Z82)</f>
        <v/>
      </c>
      <c r="AC82">
        <f>UPPER(LEFT(A82,3)&amp;"-"&amp;LEFT(B82,3)&amp;"-"&amp;TEXT(ROW()-1,"000"))</f>
        <v/>
      </c>
      <c r="AD82">
        <f>INDEX(Rules!$E$2:$E$6,MATCH(O82,Rules!$A$2:$A$6,0))</f>
        <v/>
      </c>
      <c r="AE82" s="2">
        <f>ROUND(AA82*AD82,2)</f>
        <v/>
      </c>
      <c r="AF82">
        <f>RANK(W82,$W$2:$W$181,0)</f>
        <v/>
      </c>
      <c r="AG82">
        <f>IF(AND(AB82&gt;0.18,Y82="LOW"),"PASS",IF(AB82&gt;0.08,"WATCH","FAIL"))</f>
        <v/>
      </c>
      <c r="AH82">
        <f>IFERROR(IF(VLOOKUP(A82,Rules!$G$2:$H$13,2,FALSE)="Priority","Priority Region","Standard Region"),"Standard Region")</f>
        <v/>
      </c>
      <c r="AI82">
        <f>ROUND(SUMPRODUCT(E82:J82,{0.08,0.08,0.15,0.1,0.25,0.34}),2)</f>
        <v/>
      </c>
      <c r="AJ82" s="2">
        <f>ROUND(AE82*INDEX(Rules!$J$2:$J$5,MATCH(MONTH(K82),Rules!$I$2:$I$5,1)),2)</f>
        <v/>
      </c>
    </row>
    <row r="83">
      <c r="A83" t="inlineStr">
        <is>
          <t>Navoi</t>
        </is>
      </c>
      <c r="B83" t="inlineStr">
        <is>
          <t>South-3</t>
        </is>
      </c>
      <c r="C83" t="inlineStr">
        <is>
          <t>Dilshod Rustamov</t>
        </is>
      </c>
      <c r="D83" t="n">
        <v>144</v>
      </c>
      <c r="E83" t="n">
        <v>128</v>
      </c>
      <c r="F83" s="2" t="n">
        <v>223</v>
      </c>
      <c r="G83" t="n">
        <v>19</v>
      </c>
      <c r="H83" t="n">
        <v>4</v>
      </c>
      <c r="I83" t="n">
        <v>82</v>
      </c>
      <c r="J83" s="3" t="n">
        <v>0.8889</v>
      </c>
      <c r="K83" s="4" t="inlineStr">
        <is>
          <t>2026-10-01</t>
        </is>
      </c>
      <c r="L83" s="2" t="n">
        <v>120</v>
      </c>
      <c r="M83" s="2" t="n">
        <v>30</v>
      </c>
      <c r="N83" s="3" t="n">
        <v>0.08</v>
      </c>
      <c r="O83" t="inlineStr">
        <is>
          <t>Tier-3</t>
        </is>
      </c>
      <c r="P83">
        <f>E83-D83</f>
        <v/>
      </c>
      <c r="Q83" s="3">
        <f>IF(D83=0,0,E83/D83-1)</f>
        <v/>
      </c>
      <c r="R83" s="2">
        <f>E83*F83</f>
        <v/>
      </c>
      <c r="S83" s="2">
        <f>H83*(F83*1.5/8)</f>
        <v/>
      </c>
      <c r="T83" s="2">
        <f>R83+S83+L83+M83</f>
        <v/>
      </c>
      <c r="U83">
        <f>IF(G83=0,0,E83/G83)</f>
        <v/>
      </c>
      <c r="V83">
        <f>IF(I83&gt;=95,"A",IF(I83&gt;=85,"B",IF(I83&gt;=75,"C","D")))</f>
        <v/>
      </c>
      <c r="W83">
        <f>ROUND((J83*35)+(I83*0.25)+(U83*0.2)+(IF(Q83&gt;0,100,MAX(0,100+Q83*100))*0.2),2)</f>
        <v/>
      </c>
      <c r="X83" s="2">
        <f>ROUND(T83*N83*IF(V83="A",1.25,IF(V83="B",1.1,IF(V83="C",0.9,0.5))),2)</f>
        <v/>
      </c>
      <c r="Y83">
        <f>IF(OR(I83&lt;80,J83&lt;0.75,E83&lt;D83*0.85),"HIGH",IF(OR(I83&lt;90,J83&lt;0.9),"MEDIUM","LOW"))</f>
        <v/>
      </c>
      <c r="Z83" s="2">
        <f>ROUND(E83*INDEX(Rules!$B$2:$B$6,MATCH(O83,Rules!$A$2:$A$6,0))*INDEX(Rules!$C$2:$C$5,MATCH(V83,Rules!$D$2:$D$5,0)),2)</f>
        <v/>
      </c>
      <c r="AA83" s="2">
        <f>Z83-T83-X83</f>
        <v/>
      </c>
      <c r="AB83" s="3">
        <f>IF(Z83=0,0,AA83/Z83)</f>
        <v/>
      </c>
      <c r="AC83">
        <f>UPPER(LEFT(A83,3)&amp;"-"&amp;LEFT(B83,3)&amp;"-"&amp;TEXT(ROW()-1,"000"))</f>
        <v/>
      </c>
      <c r="AD83">
        <f>INDEX(Rules!$E$2:$E$6,MATCH(O83,Rules!$A$2:$A$6,0))</f>
        <v/>
      </c>
      <c r="AE83" s="2">
        <f>ROUND(AA83*AD83,2)</f>
        <v/>
      </c>
      <c r="AF83">
        <f>RANK(W83,$W$2:$W$181,0)</f>
        <v/>
      </c>
      <c r="AG83">
        <f>IF(AND(AB83&gt;0.18,Y83="LOW"),"PASS",IF(AB83&gt;0.08,"WATCH","FAIL"))</f>
        <v/>
      </c>
      <c r="AH83">
        <f>IFERROR(IF(VLOOKUP(A83,Rules!$G$2:$H$13,2,FALSE)="Priority","Priority Region","Standard Region"),"Standard Region")</f>
        <v/>
      </c>
      <c r="AI83">
        <f>ROUND(SUMPRODUCT(E83:J83,{0.08,0.08,0.15,0.1,0.25,0.34}),2)</f>
        <v/>
      </c>
      <c r="AJ83" s="2">
        <f>ROUND(AE83*INDEX(Rules!$J$2:$J$5,MATCH(MONTH(K83),Rules!$I$2:$I$5,1)),2)</f>
        <v/>
      </c>
    </row>
    <row r="84">
      <c r="A84" t="inlineStr">
        <is>
          <t>Syrdarya</t>
        </is>
      </c>
      <c r="B84" t="inlineStr">
        <is>
          <t>East-4</t>
        </is>
      </c>
      <c r="C84" t="inlineStr">
        <is>
          <t>Malika Ergasheva</t>
        </is>
      </c>
      <c r="D84" t="n">
        <v>151</v>
      </c>
      <c r="E84" t="n">
        <v>142</v>
      </c>
      <c r="F84" s="2" t="n">
        <v>232</v>
      </c>
      <c r="G84" t="n">
        <v>20</v>
      </c>
      <c r="H84" t="n">
        <v>7</v>
      </c>
      <c r="I84" t="n">
        <v>87</v>
      </c>
      <c r="J84" s="3" t="n">
        <v>0.9404</v>
      </c>
      <c r="K84" s="4" t="inlineStr">
        <is>
          <t>2026-11-01</t>
        </is>
      </c>
      <c r="L84" s="2" t="n">
        <v>128</v>
      </c>
      <c r="M84" s="2" t="n">
        <v>35</v>
      </c>
      <c r="N84" s="3" t="n">
        <v>0.0925</v>
      </c>
      <c r="O84" t="inlineStr">
        <is>
          <t>Tier-4</t>
        </is>
      </c>
      <c r="P84">
        <f>E84-D84</f>
        <v/>
      </c>
      <c r="Q84" s="3">
        <f>IF(D84=0,0,E84/D84-1)</f>
        <v/>
      </c>
      <c r="R84" s="2">
        <f>E84*F84</f>
        <v/>
      </c>
      <c r="S84" s="2">
        <f>H84*(F84*1.5/8)</f>
        <v/>
      </c>
      <c r="T84" s="2">
        <f>R84+S84+L84+M84</f>
        <v/>
      </c>
      <c r="U84">
        <f>IF(G84=0,0,E84/G84)</f>
        <v/>
      </c>
      <c r="V84">
        <f>IF(I84&gt;=95,"A",IF(I84&gt;=85,"B",IF(I84&gt;=75,"C","D")))</f>
        <v/>
      </c>
      <c r="W84">
        <f>ROUND((J84*35)+(I84*0.25)+(U84*0.2)+(IF(Q84&gt;0,100,MAX(0,100+Q84*100))*0.2),2)</f>
        <v/>
      </c>
      <c r="X84" s="2">
        <f>ROUND(T84*N84*IF(V84="A",1.25,IF(V84="B",1.1,IF(V84="C",0.9,0.5))),2)</f>
        <v/>
      </c>
      <c r="Y84">
        <f>IF(OR(I84&lt;80,J84&lt;0.75,E84&lt;D84*0.85),"HIGH",IF(OR(I84&lt;90,J84&lt;0.9),"MEDIUM","LOW"))</f>
        <v/>
      </c>
      <c r="Z84" s="2">
        <f>ROUND(E84*INDEX(Rules!$B$2:$B$6,MATCH(O84,Rules!$A$2:$A$6,0))*INDEX(Rules!$C$2:$C$5,MATCH(V84,Rules!$D$2:$D$5,0)),2)</f>
        <v/>
      </c>
      <c r="AA84" s="2">
        <f>Z84-T84-X84</f>
        <v/>
      </c>
      <c r="AB84" s="3">
        <f>IF(Z84=0,0,AA84/Z84)</f>
        <v/>
      </c>
      <c r="AC84">
        <f>UPPER(LEFT(A84,3)&amp;"-"&amp;LEFT(B84,3)&amp;"-"&amp;TEXT(ROW()-1,"000"))</f>
        <v/>
      </c>
      <c r="AD84">
        <f>INDEX(Rules!$E$2:$E$6,MATCH(O84,Rules!$A$2:$A$6,0))</f>
        <v/>
      </c>
      <c r="AE84" s="2">
        <f>ROUND(AA84*AD84,2)</f>
        <v/>
      </c>
      <c r="AF84">
        <f>RANK(W84,$W$2:$W$181,0)</f>
        <v/>
      </c>
      <c r="AG84">
        <f>IF(AND(AB84&gt;0.18,Y84="LOW"),"PASS",IF(AB84&gt;0.08,"WATCH","FAIL"))</f>
        <v/>
      </c>
      <c r="AH84">
        <f>IFERROR(IF(VLOOKUP(A84,Rules!$G$2:$H$13,2,FALSE)="Priority","Priority Region","Standard Region"),"Standard Region")</f>
        <v/>
      </c>
      <c r="AI84">
        <f>ROUND(SUMPRODUCT(E84:J84,{0.08,0.08,0.15,0.1,0.25,0.34}),2)</f>
        <v/>
      </c>
      <c r="AJ84" s="2">
        <f>ROUND(AE84*INDEX(Rules!$J$2:$J$5,MATCH(MONTH(K84),Rules!$I$2:$I$5,1)),2)</f>
        <v/>
      </c>
    </row>
    <row r="85">
      <c r="A85" t="inlineStr">
        <is>
          <t>Tashkent</t>
        </is>
      </c>
      <c r="B85" t="inlineStr">
        <is>
          <t>West-1</t>
        </is>
      </c>
      <c r="C85" t="inlineStr">
        <is>
          <t>Shahzod Islomov</t>
        </is>
      </c>
      <c r="D85" t="n">
        <v>158</v>
      </c>
      <c r="E85" t="n">
        <v>156</v>
      </c>
      <c r="F85" s="2" t="n">
        <v>115</v>
      </c>
      <c r="G85" t="n">
        <v>21</v>
      </c>
      <c r="H85" t="n">
        <v>10</v>
      </c>
      <c r="I85" t="n">
        <v>92</v>
      </c>
      <c r="J85" s="3" t="n">
        <v>0.9873</v>
      </c>
      <c r="K85" s="4" t="inlineStr">
        <is>
          <t>2026-12-01</t>
        </is>
      </c>
      <c r="L85" s="2" t="n">
        <v>40</v>
      </c>
      <c r="M85" s="2" t="n">
        <v>40</v>
      </c>
      <c r="N85" s="3" t="n">
        <v>0.03</v>
      </c>
      <c r="O85" t="inlineStr">
        <is>
          <t>Tier-5</t>
        </is>
      </c>
      <c r="P85">
        <f>E85-D85</f>
        <v/>
      </c>
      <c r="Q85" s="3">
        <f>IF(D85=0,0,E85/D85-1)</f>
        <v/>
      </c>
      <c r="R85" s="2">
        <f>E85*F85</f>
        <v/>
      </c>
      <c r="S85" s="2">
        <f>H85*(F85*1.5/8)</f>
        <v/>
      </c>
      <c r="T85" s="2">
        <f>R85+S85+L85+M85</f>
        <v/>
      </c>
      <c r="U85">
        <f>IF(G85=0,0,E85/G85)</f>
        <v/>
      </c>
      <c r="V85">
        <f>IF(I85&gt;=95,"A",IF(I85&gt;=85,"B",IF(I85&gt;=75,"C","D")))</f>
        <v/>
      </c>
      <c r="W85">
        <f>ROUND((J85*35)+(I85*0.25)+(U85*0.2)+(IF(Q85&gt;0,100,MAX(0,100+Q85*100))*0.2),2)</f>
        <v/>
      </c>
      <c r="X85" s="2">
        <f>ROUND(T85*N85*IF(V85="A",1.25,IF(V85="B",1.1,IF(V85="C",0.9,0.5))),2)</f>
        <v/>
      </c>
      <c r="Y85">
        <f>IF(OR(I85&lt;80,J85&lt;0.75,E85&lt;D85*0.85),"HIGH",IF(OR(I85&lt;90,J85&lt;0.9),"MEDIUM","LOW"))</f>
        <v/>
      </c>
      <c r="Z85" s="2">
        <f>ROUND(E85*INDEX(Rules!$B$2:$B$6,MATCH(O85,Rules!$A$2:$A$6,0))*INDEX(Rules!$C$2:$C$5,MATCH(V85,Rules!$D$2:$D$5,0)),2)</f>
        <v/>
      </c>
      <c r="AA85" s="2">
        <f>Z85-T85-X85</f>
        <v/>
      </c>
      <c r="AB85" s="3">
        <f>IF(Z85=0,0,AA85/Z85)</f>
        <v/>
      </c>
      <c r="AC85">
        <f>UPPER(LEFT(A85,3)&amp;"-"&amp;LEFT(B85,3)&amp;"-"&amp;TEXT(ROW()-1,"000"))</f>
        <v/>
      </c>
      <c r="AD85">
        <f>INDEX(Rules!$E$2:$E$6,MATCH(O85,Rules!$A$2:$A$6,0))</f>
        <v/>
      </c>
      <c r="AE85" s="2">
        <f>ROUND(AA85*AD85,2)</f>
        <v/>
      </c>
      <c r="AF85">
        <f>RANK(W85,$W$2:$W$181,0)</f>
        <v/>
      </c>
      <c r="AG85">
        <f>IF(AND(AB85&gt;0.18,Y85="LOW"),"PASS",IF(AB85&gt;0.08,"WATCH","FAIL"))</f>
        <v/>
      </c>
      <c r="AH85">
        <f>IFERROR(IF(VLOOKUP(A85,Rules!$G$2:$H$13,2,FALSE)="Priority","Priority Region","Standard Region"),"Standard Region")</f>
        <v/>
      </c>
      <c r="AI85">
        <f>ROUND(SUMPRODUCT(E85:J85,{0.08,0.08,0.15,0.1,0.25,0.34}),2)</f>
        <v/>
      </c>
      <c r="AJ85" s="2">
        <f>ROUND(AE85*INDEX(Rules!$J$2:$J$5,MATCH(MONTH(K85),Rules!$I$2:$I$5,1)),2)</f>
        <v/>
      </c>
    </row>
    <row r="86">
      <c r="A86" t="inlineStr">
        <is>
          <t>Samarkand</t>
        </is>
      </c>
      <c r="B86" t="inlineStr">
        <is>
          <t>Industrial-2</t>
        </is>
      </c>
      <c r="C86" t="inlineStr">
        <is>
          <t>Nilufar Tursunova</t>
        </is>
      </c>
      <c r="D86" t="n">
        <v>165</v>
      </c>
      <c r="E86" t="n">
        <v>165</v>
      </c>
      <c r="F86" s="2" t="n">
        <v>124</v>
      </c>
      <c r="G86" t="n">
        <v>22</v>
      </c>
      <c r="H86" t="n">
        <v>13</v>
      </c>
      <c r="I86" t="n">
        <v>97</v>
      </c>
      <c r="J86" s="3" t="n">
        <v>1</v>
      </c>
      <c r="K86" s="4" t="inlineStr">
        <is>
          <t>2026-01-01</t>
        </is>
      </c>
      <c r="L86" s="2" t="n">
        <v>48</v>
      </c>
      <c r="M86" s="2" t="n">
        <v>45</v>
      </c>
      <c r="N86" s="3" t="n">
        <v>0.0425</v>
      </c>
      <c r="O86" t="inlineStr">
        <is>
          <t>Tier-1</t>
        </is>
      </c>
      <c r="P86">
        <f>E86-D86</f>
        <v/>
      </c>
      <c r="Q86" s="3">
        <f>IF(D86=0,0,E86/D86-1)</f>
        <v/>
      </c>
      <c r="R86" s="2">
        <f>E86*F86</f>
        <v/>
      </c>
      <c r="S86" s="2">
        <f>H86*(F86*1.5/8)</f>
        <v/>
      </c>
      <c r="T86" s="2">
        <f>R86+S86+L86+M86</f>
        <v/>
      </c>
      <c r="U86">
        <f>IF(G86=0,0,E86/G86)</f>
        <v/>
      </c>
      <c r="V86">
        <f>IF(I86&gt;=95,"A",IF(I86&gt;=85,"B",IF(I86&gt;=75,"C","D")))</f>
        <v/>
      </c>
      <c r="W86">
        <f>ROUND((J86*35)+(I86*0.25)+(U86*0.2)+(IF(Q86&gt;0,100,MAX(0,100+Q86*100))*0.2),2)</f>
        <v/>
      </c>
      <c r="X86" s="2">
        <f>ROUND(T86*N86*IF(V86="A",1.25,IF(V86="B",1.1,IF(V86="C",0.9,0.5))),2)</f>
        <v/>
      </c>
      <c r="Y86">
        <f>IF(OR(I86&lt;80,J86&lt;0.75,E86&lt;D86*0.85),"HIGH",IF(OR(I86&lt;90,J86&lt;0.9),"MEDIUM","LOW"))</f>
        <v/>
      </c>
      <c r="Z86" s="2">
        <f>ROUND(E86*INDEX(Rules!$B$2:$B$6,MATCH(O86,Rules!$A$2:$A$6,0))*INDEX(Rules!$C$2:$C$5,MATCH(V86,Rules!$D$2:$D$5,0)),2)</f>
        <v/>
      </c>
      <c r="AA86" s="2">
        <f>Z86-T86-X86</f>
        <v/>
      </c>
      <c r="AB86" s="3">
        <f>IF(Z86=0,0,AA86/Z86)</f>
        <v/>
      </c>
      <c r="AC86">
        <f>UPPER(LEFT(A86,3)&amp;"-"&amp;LEFT(B86,3)&amp;"-"&amp;TEXT(ROW()-1,"000"))</f>
        <v/>
      </c>
      <c r="AD86">
        <f>INDEX(Rules!$E$2:$E$6,MATCH(O86,Rules!$A$2:$A$6,0))</f>
        <v/>
      </c>
      <c r="AE86" s="2">
        <f>ROUND(AA86*AD86,2)</f>
        <v/>
      </c>
      <c r="AF86">
        <f>RANK(W86,$W$2:$W$181,0)</f>
        <v/>
      </c>
      <c r="AG86">
        <f>IF(AND(AB86&gt;0.18,Y86="LOW"),"PASS",IF(AB86&gt;0.08,"WATCH","FAIL"))</f>
        <v/>
      </c>
      <c r="AH86">
        <f>IFERROR(IF(VLOOKUP(A86,Rules!$G$2:$H$13,2,FALSE)="Priority","Priority Region","Standard Region"),"Standard Region")</f>
        <v/>
      </c>
      <c r="AI86">
        <f>ROUND(SUMPRODUCT(E86:J86,{0.08,0.08,0.15,0.1,0.25,0.34}),2)</f>
        <v/>
      </c>
      <c r="AJ86" s="2">
        <f>ROUND(AE86*INDEX(Rules!$J$2:$J$5,MATCH(MONTH(K86),Rules!$I$2:$I$5,1)),2)</f>
        <v/>
      </c>
    </row>
    <row r="87">
      <c r="A87" t="inlineStr">
        <is>
          <t>Bukhara</t>
        </is>
      </c>
      <c r="B87" t="inlineStr">
        <is>
          <t>Rural-3</t>
        </is>
      </c>
      <c r="C87" t="inlineStr">
        <is>
          <t>Sardor Jabborov</t>
        </is>
      </c>
      <c r="D87" t="n">
        <v>172</v>
      </c>
      <c r="E87" t="n">
        <v>179</v>
      </c>
      <c r="F87" s="2" t="n">
        <v>133</v>
      </c>
      <c r="G87" t="n">
        <v>23</v>
      </c>
      <c r="H87" t="n">
        <v>16</v>
      </c>
      <c r="I87" t="n">
        <v>69</v>
      </c>
      <c r="J87" s="3" t="n">
        <v>1.0407</v>
      </c>
      <c r="K87" s="4" t="inlineStr">
        <is>
          <t>2026-02-01</t>
        </is>
      </c>
      <c r="L87" s="2" t="n">
        <v>56</v>
      </c>
      <c r="M87" s="2" t="n">
        <v>50</v>
      </c>
      <c r="N87" s="3" t="n">
        <v>0.055</v>
      </c>
      <c r="O87" t="inlineStr">
        <is>
          <t>Tier-2</t>
        </is>
      </c>
      <c r="P87">
        <f>E87-D87</f>
        <v/>
      </c>
      <c r="Q87" s="3">
        <f>IF(D87=0,0,E87/D87-1)</f>
        <v/>
      </c>
      <c r="R87" s="2">
        <f>E87*F87</f>
        <v/>
      </c>
      <c r="S87" s="2">
        <f>H87*(F87*1.5/8)</f>
        <v/>
      </c>
      <c r="T87" s="2">
        <f>R87+S87+L87+M87</f>
        <v/>
      </c>
      <c r="U87">
        <f>IF(G87=0,0,E87/G87)</f>
        <v/>
      </c>
      <c r="V87">
        <f>IF(I87&gt;=95,"A",IF(I87&gt;=85,"B",IF(I87&gt;=75,"C","D")))</f>
        <v/>
      </c>
      <c r="W87">
        <f>ROUND((J87*35)+(I87*0.25)+(U87*0.2)+(IF(Q87&gt;0,100,MAX(0,100+Q87*100))*0.2),2)</f>
        <v/>
      </c>
      <c r="X87" s="2">
        <f>ROUND(T87*N87*IF(V87="A",1.25,IF(V87="B",1.1,IF(V87="C",0.9,0.5))),2)</f>
        <v/>
      </c>
      <c r="Y87">
        <f>IF(OR(I87&lt;80,J87&lt;0.75,E87&lt;D87*0.85),"HIGH",IF(OR(I87&lt;90,J87&lt;0.9),"MEDIUM","LOW"))</f>
        <v/>
      </c>
      <c r="Z87" s="2">
        <f>ROUND(E87*INDEX(Rules!$B$2:$B$6,MATCH(O87,Rules!$A$2:$A$6,0))*INDEX(Rules!$C$2:$C$5,MATCH(V87,Rules!$D$2:$D$5,0)),2)</f>
        <v/>
      </c>
      <c r="AA87" s="2">
        <f>Z87-T87-X87</f>
        <v/>
      </c>
      <c r="AB87" s="3">
        <f>IF(Z87=0,0,AA87/Z87)</f>
        <v/>
      </c>
      <c r="AC87">
        <f>UPPER(LEFT(A87,3)&amp;"-"&amp;LEFT(B87,3)&amp;"-"&amp;TEXT(ROW()-1,"000"))</f>
        <v/>
      </c>
      <c r="AD87">
        <f>INDEX(Rules!$E$2:$E$6,MATCH(O87,Rules!$A$2:$A$6,0))</f>
        <v/>
      </c>
      <c r="AE87" s="2">
        <f>ROUND(AA87*AD87,2)</f>
        <v/>
      </c>
      <c r="AF87">
        <f>RANK(W87,$W$2:$W$181,0)</f>
        <v/>
      </c>
      <c r="AG87">
        <f>IF(AND(AB87&gt;0.18,Y87="LOW"),"PASS",IF(AB87&gt;0.08,"WATCH","FAIL"))</f>
        <v/>
      </c>
      <c r="AH87">
        <f>IFERROR(IF(VLOOKUP(A87,Rules!$G$2:$H$13,2,FALSE)="Priority","Priority Region","Standard Region"),"Standard Region")</f>
        <v/>
      </c>
      <c r="AI87">
        <f>ROUND(SUMPRODUCT(E87:J87,{0.08,0.08,0.15,0.1,0.25,0.34}),2)</f>
        <v/>
      </c>
      <c r="AJ87" s="2">
        <f>ROUND(AE87*INDEX(Rules!$J$2:$J$5,MATCH(MONTH(K87),Rules!$I$2:$I$5,1)),2)</f>
        <v/>
      </c>
    </row>
    <row r="88">
      <c r="A88" t="inlineStr">
        <is>
          <t>Andijan</t>
        </is>
      </c>
      <c r="B88" t="inlineStr">
        <is>
          <t>Urban-4</t>
        </is>
      </c>
      <c r="C88" t="inlineStr">
        <is>
          <t>Kamola Rahimova</t>
        </is>
      </c>
      <c r="D88" t="n">
        <v>179</v>
      </c>
      <c r="E88" t="n">
        <v>193</v>
      </c>
      <c r="F88" s="2" t="n">
        <v>142</v>
      </c>
      <c r="G88" t="n">
        <v>24</v>
      </c>
      <c r="H88" t="n">
        <v>19</v>
      </c>
      <c r="I88" t="n">
        <v>74</v>
      </c>
      <c r="J88" s="3" t="n">
        <v>1.0782</v>
      </c>
      <c r="K88" s="4" t="inlineStr">
        <is>
          <t>2026-03-01</t>
        </is>
      </c>
      <c r="L88" s="2" t="n">
        <v>64</v>
      </c>
      <c r="M88" s="2" t="n">
        <v>55</v>
      </c>
      <c r="N88" s="3" t="n">
        <v>0.0675</v>
      </c>
      <c r="O88" t="inlineStr">
        <is>
          <t>Tier-3</t>
        </is>
      </c>
      <c r="P88">
        <f>E88-D88</f>
        <v/>
      </c>
      <c r="Q88" s="3">
        <f>IF(D88=0,0,E88/D88-1)</f>
        <v/>
      </c>
      <c r="R88" s="2">
        <f>E88*F88</f>
        <v/>
      </c>
      <c r="S88" s="2">
        <f>H88*(F88*1.5/8)</f>
        <v/>
      </c>
      <c r="T88" s="2">
        <f>R88+S88+L88+M88</f>
        <v/>
      </c>
      <c r="U88">
        <f>IF(G88=0,0,E88/G88)</f>
        <v/>
      </c>
      <c r="V88">
        <f>IF(I88&gt;=95,"A",IF(I88&gt;=85,"B",IF(I88&gt;=75,"C","D")))</f>
        <v/>
      </c>
      <c r="W88">
        <f>ROUND((J88*35)+(I88*0.25)+(U88*0.2)+(IF(Q88&gt;0,100,MAX(0,100+Q88*100))*0.2),2)</f>
        <v/>
      </c>
      <c r="X88" s="2">
        <f>ROUND(T88*N88*IF(V88="A",1.25,IF(V88="B",1.1,IF(V88="C",0.9,0.5))),2)</f>
        <v/>
      </c>
      <c r="Y88">
        <f>IF(OR(I88&lt;80,J88&lt;0.75,E88&lt;D88*0.85),"HIGH",IF(OR(I88&lt;90,J88&lt;0.9),"MEDIUM","LOW"))</f>
        <v/>
      </c>
      <c r="Z88" s="2">
        <f>ROUND(E88*INDEX(Rules!$B$2:$B$6,MATCH(O88,Rules!$A$2:$A$6,0))*INDEX(Rules!$C$2:$C$5,MATCH(V88,Rules!$D$2:$D$5,0)),2)</f>
        <v/>
      </c>
      <c r="AA88" s="2">
        <f>Z88-T88-X88</f>
        <v/>
      </c>
      <c r="AB88" s="3">
        <f>IF(Z88=0,0,AA88/Z88)</f>
        <v/>
      </c>
      <c r="AC88">
        <f>UPPER(LEFT(A88,3)&amp;"-"&amp;LEFT(B88,3)&amp;"-"&amp;TEXT(ROW()-1,"000"))</f>
        <v/>
      </c>
      <c r="AD88">
        <f>INDEX(Rules!$E$2:$E$6,MATCH(O88,Rules!$A$2:$A$6,0))</f>
        <v/>
      </c>
      <c r="AE88" s="2">
        <f>ROUND(AA88*AD88,2)</f>
        <v/>
      </c>
      <c r="AF88">
        <f>RANK(W88,$W$2:$W$181,0)</f>
        <v/>
      </c>
      <c r="AG88">
        <f>IF(AND(AB88&gt;0.18,Y88="LOW"),"PASS",IF(AB88&gt;0.08,"WATCH","FAIL"))</f>
        <v/>
      </c>
      <c r="AH88">
        <f>IFERROR(IF(VLOOKUP(A88,Rules!$G$2:$H$13,2,FALSE)="Priority","Priority Region","Standard Region"),"Standard Region")</f>
        <v/>
      </c>
      <c r="AI88">
        <f>ROUND(SUMPRODUCT(E88:J88,{0.08,0.08,0.15,0.1,0.25,0.34}),2)</f>
        <v/>
      </c>
      <c r="AJ88" s="2">
        <f>ROUND(AE88*INDEX(Rules!$J$2:$J$5,MATCH(MONTH(K88),Rules!$I$2:$I$5,1)),2)</f>
        <v/>
      </c>
    </row>
    <row r="89">
      <c r="A89" t="inlineStr">
        <is>
          <t>Namangan</t>
        </is>
      </c>
      <c r="B89" t="inlineStr">
        <is>
          <t>Central-1</t>
        </is>
      </c>
      <c r="C89" t="inlineStr">
        <is>
          <t>Aziza Karimova</t>
        </is>
      </c>
      <c r="D89" t="n">
        <v>186</v>
      </c>
      <c r="E89" t="n">
        <v>207</v>
      </c>
      <c r="F89" s="2" t="n">
        <v>151</v>
      </c>
      <c r="G89" t="n">
        <v>25</v>
      </c>
      <c r="H89" t="n">
        <v>0</v>
      </c>
      <c r="I89" t="n">
        <v>79</v>
      </c>
      <c r="J89" s="3" t="n">
        <v>1.1129</v>
      </c>
      <c r="K89" s="4" t="inlineStr">
        <is>
          <t>2026-04-01</t>
        </is>
      </c>
      <c r="L89" s="2" t="n">
        <v>72</v>
      </c>
      <c r="M89" s="2" t="n">
        <v>60</v>
      </c>
      <c r="N89" s="3" t="n">
        <v>0.08</v>
      </c>
      <c r="O89" t="inlineStr">
        <is>
          <t>Tier-4</t>
        </is>
      </c>
      <c r="P89">
        <f>E89-D89</f>
        <v/>
      </c>
      <c r="Q89" s="3">
        <f>IF(D89=0,0,E89/D89-1)</f>
        <v/>
      </c>
      <c r="R89" s="2">
        <f>E89*F89</f>
        <v/>
      </c>
      <c r="S89" s="2">
        <f>H89*(F89*1.5/8)</f>
        <v/>
      </c>
      <c r="T89" s="2">
        <f>R89+S89+L89+M89</f>
        <v/>
      </c>
      <c r="U89">
        <f>IF(G89=0,0,E89/G89)</f>
        <v/>
      </c>
      <c r="V89">
        <f>IF(I89&gt;=95,"A",IF(I89&gt;=85,"B",IF(I89&gt;=75,"C","D")))</f>
        <v/>
      </c>
      <c r="W89">
        <f>ROUND((J89*35)+(I89*0.25)+(U89*0.2)+(IF(Q89&gt;0,100,MAX(0,100+Q89*100))*0.2),2)</f>
        <v/>
      </c>
      <c r="X89" s="2">
        <f>ROUND(T89*N89*IF(V89="A",1.25,IF(V89="B",1.1,IF(V89="C",0.9,0.5))),2)</f>
        <v/>
      </c>
      <c r="Y89">
        <f>IF(OR(I89&lt;80,J89&lt;0.75,E89&lt;D89*0.85),"HIGH",IF(OR(I89&lt;90,J89&lt;0.9),"MEDIUM","LOW"))</f>
        <v/>
      </c>
      <c r="Z89" s="2">
        <f>ROUND(E89*INDEX(Rules!$B$2:$B$6,MATCH(O89,Rules!$A$2:$A$6,0))*INDEX(Rules!$C$2:$C$5,MATCH(V89,Rules!$D$2:$D$5,0)),2)</f>
        <v/>
      </c>
      <c r="AA89" s="2">
        <f>Z89-T89-X89</f>
        <v/>
      </c>
      <c r="AB89" s="3">
        <f>IF(Z89=0,0,AA89/Z89)</f>
        <v/>
      </c>
      <c r="AC89">
        <f>UPPER(LEFT(A89,3)&amp;"-"&amp;LEFT(B89,3)&amp;"-"&amp;TEXT(ROW()-1,"000"))</f>
        <v/>
      </c>
      <c r="AD89">
        <f>INDEX(Rules!$E$2:$E$6,MATCH(O89,Rules!$A$2:$A$6,0))</f>
        <v/>
      </c>
      <c r="AE89" s="2">
        <f>ROUND(AA89*AD89,2)</f>
        <v/>
      </c>
      <c r="AF89">
        <f>RANK(W89,$W$2:$W$181,0)</f>
        <v/>
      </c>
      <c r="AG89">
        <f>IF(AND(AB89&gt;0.18,Y89="LOW"),"PASS",IF(AB89&gt;0.08,"WATCH","FAIL"))</f>
        <v/>
      </c>
      <c r="AH89">
        <f>IFERROR(IF(VLOOKUP(A89,Rules!$G$2:$H$13,2,FALSE)="Priority","Priority Region","Standard Region"),"Standard Region")</f>
        <v/>
      </c>
      <c r="AI89">
        <f>ROUND(SUMPRODUCT(E89:J89,{0.08,0.08,0.15,0.1,0.25,0.34}),2)</f>
        <v/>
      </c>
      <c r="AJ89" s="2">
        <f>ROUND(AE89*INDEX(Rules!$J$2:$J$5,MATCH(MONTH(K89),Rules!$I$2:$I$5,1)),2)</f>
        <v/>
      </c>
    </row>
    <row r="90">
      <c r="A90" t="inlineStr">
        <is>
          <t>Fergana</t>
        </is>
      </c>
      <c r="B90" t="inlineStr">
        <is>
          <t>North-2</t>
        </is>
      </c>
      <c r="C90" t="inlineStr">
        <is>
          <t>Bekzod Aliyev</t>
        </is>
      </c>
      <c r="D90" t="n">
        <v>193</v>
      </c>
      <c r="E90" t="n">
        <v>221</v>
      </c>
      <c r="F90" s="2" t="n">
        <v>160</v>
      </c>
      <c r="G90" t="n">
        <v>26</v>
      </c>
      <c r="H90" t="n">
        <v>3</v>
      </c>
      <c r="I90" t="n">
        <v>84</v>
      </c>
      <c r="J90" s="3" t="n">
        <v>1.1451</v>
      </c>
      <c r="K90" s="4" t="inlineStr">
        <is>
          <t>2026-05-01</t>
        </is>
      </c>
      <c r="L90" s="2" t="n">
        <v>80</v>
      </c>
      <c r="M90" s="2" t="n">
        <v>65</v>
      </c>
      <c r="N90" s="3" t="n">
        <v>0.0925</v>
      </c>
      <c r="O90" t="inlineStr">
        <is>
          <t>Tier-5</t>
        </is>
      </c>
      <c r="P90">
        <f>E90-D90</f>
        <v/>
      </c>
      <c r="Q90" s="3">
        <f>IF(D90=0,0,E90/D90-1)</f>
        <v/>
      </c>
      <c r="R90" s="2">
        <f>E90*F90</f>
        <v/>
      </c>
      <c r="S90" s="2">
        <f>H90*(F90*1.5/8)</f>
        <v/>
      </c>
      <c r="T90" s="2">
        <f>R90+S90+L90+M90</f>
        <v/>
      </c>
      <c r="U90">
        <f>IF(G90=0,0,E90/G90)</f>
        <v/>
      </c>
      <c r="V90">
        <f>IF(I90&gt;=95,"A",IF(I90&gt;=85,"B",IF(I90&gt;=75,"C","D")))</f>
        <v/>
      </c>
      <c r="W90">
        <f>ROUND((J90*35)+(I90*0.25)+(U90*0.2)+(IF(Q90&gt;0,100,MAX(0,100+Q90*100))*0.2),2)</f>
        <v/>
      </c>
      <c r="X90" s="2">
        <f>ROUND(T90*N90*IF(V90="A",1.25,IF(V90="B",1.1,IF(V90="C",0.9,0.5))),2)</f>
        <v/>
      </c>
      <c r="Y90">
        <f>IF(OR(I90&lt;80,J90&lt;0.75,E90&lt;D90*0.85),"HIGH",IF(OR(I90&lt;90,J90&lt;0.9),"MEDIUM","LOW"))</f>
        <v/>
      </c>
      <c r="Z90" s="2">
        <f>ROUND(E90*INDEX(Rules!$B$2:$B$6,MATCH(O90,Rules!$A$2:$A$6,0))*INDEX(Rules!$C$2:$C$5,MATCH(V90,Rules!$D$2:$D$5,0)),2)</f>
        <v/>
      </c>
      <c r="AA90" s="2">
        <f>Z90-T90-X90</f>
        <v/>
      </c>
      <c r="AB90" s="3">
        <f>IF(Z90=0,0,AA90/Z90)</f>
        <v/>
      </c>
      <c r="AC90">
        <f>UPPER(LEFT(A90,3)&amp;"-"&amp;LEFT(B90,3)&amp;"-"&amp;TEXT(ROW()-1,"000"))</f>
        <v/>
      </c>
      <c r="AD90">
        <f>INDEX(Rules!$E$2:$E$6,MATCH(O90,Rules!$A$2:$A$6,0))</f>
        <v/>
      </c>
      <c r="AE90" s="2">
        <f>ROUND(AA90*AD90,2)</f>
        <v/>
      </c>
      <c r="AF90">
        <f>RANK(W90,$W$2:$W$181,0)</f>
        <v/>
      </c>
      <c r="AG90">
        <f>IF(AND(AB90&gt;0.18,Y90="LOW"),"PASS",IF(AB90&gt;0.08,"WATCH","FAIL"))</f>
        <v/>
      </c>
      <c r="AH90">
        <f>IFERROR(IF(VLOOKUP(A90,Rules!$G$2:$H$13,2,FALSE)="Priority","Priority Region","Standard Region"),"Standard Region")</f>
        <v/>
      </c>
      <c r="AI90">
        <f>ROUND(SUMPRODUCT(E90:J90,{0.08,0.08,0.15,0.1,0.25,0.34}),2)</f>
        <v/>
      </c>
      <c r="AJ90" s="2">
        <f>ROUND(AE90*INDEX(Rules!$J$2:$J$5,MATCH(MONTH(K90),Rules!$I$2:$I$5,1)),2)</f>
        <v/>
      </c>
    </row>
    <row r="91">
      <c r="A91" t="inlineStr">
        <is>
          <t>Kashkadarya</t>
        </is>
      </c>
      <c r="B91" t="inlineStr">
        <is>
          <t>South-3</t>
        </is>
      </c>
      <c r="C91" t="inlineStr">
        <is>
          <t>Dilshod Rustamov</t>
        </is>
      </c>
      <c r="D91" t="n">
        <v>200</v>
      </c>
      <c r="E91" t="n">
        <v>176</v>
      </c>
      <c r="F91" s="2" t="n">
        <v>169</v>
      </c>
      <c r="G91" t="n">
        <v>18</v>
      </c>
      <c r="H91" t="n">
        <v>6</v>
      </c>
      <c r="I91" t="n">
        <v>89</v>
      </c>
      <c r="J91" s="3" t="n">
        <v>0.88</v>
      </c>
      <c r="K91" s="4" t="inlineStr">
        <is>
          <t>2026-06-01</t>
        </is>
      </c>
      <c r="L91" s="2" t="n">
        <v>88</v>
      </c>
      <c r="M91" s="2" t="n">
        <v>20</v>
      </c>
      <c r="N91" s="3" t="n">
        <v>0.03</v>
      </c>
      <c r="O91" t="inlineStr">
        <is>
          <t>Tier-1</t>
        </is>
      </c>
      <c r="P91">
        <f>E91-D91</f>
        <v/>
      </c>
      <c r="Q91" s="3">
        <f>IF(D91=0,0,E91/D91-1)</f>
        <v/>
      </c>
      <c r="R91" s="2">
        <f>E91*F91</f>
        <v/>
      </c>
      <c r="S91" s="2">
        <f>H91*(F91*1.5/8)</f>
        <v/>
      </c>
      <c r="T91" s="2">
        <f>R91+S91+L91+M91</f>
        <v/>
      </c>
      <c r="U91">
        <f>IF(G91=0,0,E91/G91)</f>
        <v/>
      </c>
      <c r="V91">
        <f>IF(I91&gt;=95,"A",IF(I91&gt;=85,"B",IF(I91&gt;=75,"C","D")))</f>
        <v/>
      </c>
      <c r="W91">
        <f>ROUND((J91*35)+(I91*0.25)+(U91*0.2)+(IF(Q91&gt;0,100,MAX(0,100+Q91*100))*0.2),2)</f>
        <v/>
      </c>
      <c r="X91" s="2">
        <f>ROUND(T91*N91*IF(V91="A",1.25,IF(V91="B",1.1,IF(V91="C",0.9,0.5))),2)</f>
        <v/>
      </c>
      <c r="Y91">
        <f>IF(OR(I91&lt;80,J91&lt;0.75,E91&lt;D91*0.85),"HIGH",IF(OR(I91&lt;90,J91&lt;0.9),"MEDIUM","LOW"))</f>
        <v/>
      </c>
      <c r="Z91" s="2">
        <f>ROUND(E91*INDEX(Rules!$B$2:$B$6,MATCH(O91,Rules!$A$2:$A$6,0))*INDEX(Rules!$C$2:$C$5,MATCH(V91,Rules!$D$2:$D$5,0)),2)</f>
        <v/>
      </c>
      <c r="AA91" s="2">
        <f>Z91-T91-X91</f>
        <v/>
      </c>
      <c r="AB91" s="3">
        <f>IF(Z91=0,0,AA91/Z91)</f>
        <v/>
      </c>
      <c r="AC91">
        <f>UPPER(LEFT(A91,3)&amp;"-"&amp;LEFT(B91,3)&amp;"-"&amp;TEXT(ROW()-1,"000"))</f>
        <v/>
      </c>
      <c r="AD91">
        <f>INDEX(Rules!$E$2:$E$6,MATCH(O91,Rules!$A$2:$A$6,0))</f>
        <v/>
      </c>
      <c r="AE91" s="2">
        <f>ROUND(AA91*AD91,2)</f>
        <v/>
      </c>
      <c r="AF91">
        <f>RANK(W91,$W$2:$W$181,0)</f>
        <v/>
      </c>
      <c r="AG91">
        <f>IF(AND(AB91&gt;0.18,Y91="LOW"),"PASS",IF(AB91&gt;0.08,"WATCH","FAIL"))</f>
        <v/>
      </c>
      <c r="AH91">
        <f>IFERROR(IF(VLOOKUP(A91,Rules!$G$2:$H$13,2,FALSE)="Priority","Priority Region","Standard Region"),"Standard Region")</f>
        <v/>
      </c>
      <c r="AI91">
        <f>ROUND(SUMPRODUCT(E91:J91,{0.08,0.08,0.15,0.1,0.25,0.34}),2)</f>
        <v/>
      </c>
      <c r="AJ91" s="2">
        <f>ROUND(AE91*INDEX(Rules!$J$2:$J$5,MATCH(MONTH(K91),Rules!$I$2:$I$5,1)),2)</f>
        <v/>
      </c>
    </row>
    <row r="92">
      <c r="A92" t="inlineStr">
        <is>
          <t>Surkhandarya</t>
        </is>
      </c>
      <c r="B92" t="inlineStr">
        <is>
          <t>East-4</t>
        </is>
      </c>
      <c r="C92" t="inlineStr">
        <is>
          <t>Malika Ergasheva</t>
        </is>
      </c>
      <c r="D92" t="n">
        <v>207</v>
      </c>
      <c r="E92" t="n">
        <v>190</v>
      </c>
      <c r="F92" s="2" t="n">
        <v>178</v>
      </c>
      <c r="G92" t="n">
        <v>19</v>
      </c>
      <c r="H92" t="n">
        <v>9</v>
      </c>
      <c r="I92" t="n">
        <v>94</v>
      </c>
      <c r="J92" s="3" t="n">
        <v>0.9179</v>
      </c>
      <c r="K92" s="4" t="inlineStr">
        <is>
          <t>2026-07-01</t>
        </is>
      </c>
      <c r="L92" s="2" t="n">
        <v>96</v>
      </c>
      <c r="M92" s="2" t="n">
        <v>25</v>
      </c>
      <c r="N92" s="3" t="n">
        <v>0.0425</v>
      </c>
      <c r="O92" t="inlineStr">
        <is>
          <t>Tier-2</t>
        </is>
      </c>
      <c r="P92">
        <f>E92-D92</f>
        <v/>
      </c>
      <c r="Q92" s="3">
        <f>IF(D92=0,0,E92/D92-1)</f>
        <v/>
      </c>
      <c r="R92" s="2">
        <f>E92*F92</f>
        <v/>
      </c>
      <c r="S92" s="2">
        <f>H92*(F92*1.5/8)</f>
        <v/>
      </c>
      <c r="T92" s="2">
        <f>R92+S92+L92+M92</f>
        <v/>
      </c>
      <c r="U92">
        <f>IF(G92=0,0,E92/G92)</f>
        <v/>
      </c>
      <c r="V92">
        <f>IF(I92&gt;=95,"A",IF(I92&gt;=85,"B",IF(I92&gt;=75,"C","D")))</f>
        <v/>
      </c>
      <c r="W92">
        <f>ROUND((J92*35)+(I92*0.25)+(U92*0.2)+(IF(Q92&gt;0,100,MAX(0,100+Q92*100))*0.2),2)</f>
        <v/>
      </c>
      <c r="X92" s="2">
        <f>ROUND(T92*N92*IF(V92="A",1.25,IF(V92="B",1.1,IF(V92="C",0.9,0.5))),2)</f>
        <v/>
      </c>
      <c r="Y92">
        <f>IF(OR(I92&lt;80,J92&lt;0.75,E92&lt;D92*0.85),"HIGH",IF(OR(I92&lt;90,J92&lt;0.9),"MEDIUM","LOW"))</f>
        <v/>
      </c>
      <c r="Z92" s="2">
        <f>ROUND(E92*INDEX(Rules!$B$2:$B$6,MATCH(O92,Rules!$A$2:$A$6,0))*INDEX(Rules!$C$2:$C$5,MATCH(V92,Rules!$D$2:$D$5,0)),2)</f>
        <v/>
      </c>
      <c r="AA92" s="2">
        <f>Z92-T92-X92</f>
        <v/>
      </c>
      <c r="AB92" s="3">
        <f>IF(Z92=0,0,AA92/Z92)</f>
        <v/>
      </c>
      <c r="AC92">
        <f>UPPER(LEFT(A92,3)&amp;"-"&amp;LEFT(B92,3)&amp;"-"&amp;TEXT(ROW()-1,"000"))</f>
        <v/>
      </c>
      <c r="AD92">
        <f>INDEX(Rules!$E$2:$E$6,MATCH(O92,Rules!$A$2:$A$6,0))</f>
        <v/>
      </c>
      <c r="AE92" s="2">
        <f>ROUND(AA92*AD92,2)</f>
        <v/>
      </c>
      <c r="AF92">
        <f>RANK(W92,$W$2:$W$181,0)</f>
        <v/>
      </c>
      <c r="AG92">
        <f>IF(AND(AB92&gt;0.18,Y92="LOW"),"PASS",IF(AB92&gt;0.08,"WATCH","FAIL"))</f>
        <v/>
      </c>
      <c r="AH92">
        <f>IFERROR(IF(VLOOKUP(A92,Rules!$G$2:$H$13,2,FALSE)="Priority","Priority Region","Standard Region"),"Standard Region")</f>
        <v/>
      </c>
      <c r="AI92">
        <f>ROUND(SUMPRODUCT(E92:J92,{0.08,0.08,0.15,0.1,0.25,0.34}),2)</f>
        <v/>
      </c>
      <c r="AJ92" s="2">
        <f>ROUND(AE92*INDEX(Rules!$J$2:$J$5,MATCH(MONTH(K92),Rules!$I$2:$I$5,1)),2)</f>
        <v/>
      </c>
    </row>
    <row r="93">
      <c r="A93" t="inlineStr">
        <is>
          <t>Khorezm</t>
        </is>
      </c>
      <c r="B93" t="inlineStr">
        <is>
          <t>West-1</t>
        </is>
      </c>
      <c r="C93" t="inlineStr">
        <is>
          <t>Shahzod Islomov</t>
        </is>
      </c>
      <c r="D93" t="n">
        <v>214</v>
      </c>
      <c r="E93" t="n">
        <v>204</v>
      </c>
      <c r="F93" s="2" t="n">
        <v>187</v>
      </c>
      <c r="G93" t="n">
        <v>20</v>
      </c>
      <c r="H93" t="n">
        <v>12</v>
      </c>
      <c r="I93" t="n">
        <v>99</v>
      </c>
      <c r="J93" s="3" t="n">
        <v>0.9533</v>
      </c>
      <c r="K93" s="4" t="inlineStr">
        <is>
          <t>2026-08-01</t>
        </is>
      </c>
      <c r="L93" s="2" t="n">
        <v>104</v>
      </c>
      <c r="M93" s="2" t="n">
        <v>30</v>
      </c>
      <c r="N93" s="3" t="n">
        <v>0.055</v>
      </c>
      <c r="O93" t="inlineStr">
        <is>
          <t>Tier-3</t>
        </is>
      </c>
      <c r="P93">
        <f>E93-D93</f>
        <v/>
      </c>
      <c r="Q93" s="3">
        <f>IF(D93=0,0,E93/D93-1)</f>
        <v/>
      </c>
      <c r="R93" s="2">
        <f>E93*F93</f>
        <v/>
      </c>
      <c r="S93" s="2">
        <f>H93*(F93*1.5/8)</f>
        <v/>
      </c>
      <c r="T93" s="2">
        <f>R93+S93+L93+M93</f>
        <v/>
      </c>
      <c r="U93">
        <f>IF(G93=0,0,E93/G93)</f>
        <v/>
      </c>
      <c r="V93">
        <f>IF(I93&gt;=95,"A",IF(I93&gt;=85,"B",IF(I93&gt;=75,"C","D")))</f>
        <v/>
      </c>
      <c r="W93">
        <f>ROUND((J93*35)+(I93*0.25)+(U93*0.2)+(IF(Q93&gt;0,100,MAX(0,100+Q93*100))*0.2),2)</f>
        <v/>
      </c>
      <c r="X93" s="2">
        <f>ROUND(T93*N93*IF(V93="A",1.25,IF(V93="B",1.1,IF(V93="C",0.9,0.5))),2)</f>
        <v/>
      </c>
      <c r="Y93">
        <f>IF(OR(I93&lt;80,J93&lt;0.75,E93&lt;D93*0.85),"HIGH",IF(OR(I93&lt;90,J93&lt;0.9),"MEDIUM","LOW"))</f>
        <v/>
      </c>
      <c r="Z93" s="2">
        <f>ROUND(E93*INDEX(Rules!$B$2:$B$6,MATCH(O93,Rules!$A$2:$A$6,0))*INDEX(Rules!$C$2:$C$5,MATCH(V93,Rules!$D$2:$D$5,0)),2)</f>
        <v/>
      </c>
      <c r="AA93" s="2">
        <f>Z93-T93-X93</f>
        <v/>
      </c>
      <c r="AB93" s="3">
        <f>IF(Z93=0,0,AA93/Z93)</f>
        <v/>
      </c>
      <c r="AC93">
        <f>UPPER(LEFT(A93,3)&amp;"-"&amp;LEFT(B93,3)&amp;"-"&amp;TEXT(ROW()-1,"000"))</f>
        <v/>
      </c>
      <c r="AD93">
        <f>INDEX(Rules!$E$2:$E$6,MATCH(O93,Rules!$A$2:$A$6,0))</f>
        <v/>
      </c>
      <c r="AE93" s="2">
        <f>ROUND(AA93*AD93,2)</f>
        <v/>
      </c>
      <c r="AF93">
        <f>RANK(W93,$W$2:$W$181,0)</f>
        <v/>
      </c>
      <c r="AG93">
        <f>IF(AND(AB93&gt;0.18,Y93="LOW"),"PASS",IF(AB93&gt;0.08,"WATCH","FAIL"))</f>
        <v/>
      </c>
      <c r="AH93">
        <f>IFERROR(IF(VLOOKUP(A93,Rules!$G$2:$H$13,2,FALSE)="Priority","Priority Region","Standard Region"),"Standard Region")</f>
        <v/>
      </c>
      <c r="AI93">
        <f>ROUND(SUMPRODUCT(E93:J93,{0.08,0.08,0.15,0.1,0.25,0.34}),2)</f>
        <v/>
      </c>
      <c r="AJ93" s="2">
        <f>ROUND(AE93*INDEX(Rules!$J$2:$J$5,MATCH(MONTH(K93),Rules!$I$2:$I$5,1)),2)</f>
        <v/>
      </c>
    </row>
    <row r="94">
      <c r="A94" t="inlineStr">
        <is>
          <t>Jizzakh</t>
        </is>
      </c>
      <c r="B94" t="inlineStr">
        <is>
          <t>Industrial-2</t>
        </is>
      </c>
      <c r="C94" t="inlineStr">
        <is>
          <t>Nilufar Tursunova</t>
        </is>
      </c>
      <c r="D94" t="n">
        <v>221</v>
      </c>
      <c r="E94" t="n">
        <v>218</v>
      </c>
      <c r="F94" s="2" t="n">
        <v>196</v>
      </c>
      <c r="G94" t="n">
        <v>21</v>
      </c>
      <c r="H94" t="n">
        <v>15</v>
      </c>
      <c r="I94" t="n">
        <v>71</v>
      </c>
      <c r="J94" s="3" t="n">
        <v>0.9864000000000001</v>
      </c>
      <c r="K94" s="4" t="inlineStr">
        <is>
          <t>2026-09-01</t>
        </is>
      </c>
      <c r="L94" s="2" t="n">
        <v>112</v>
      </c>
      <c r="M94" s="2" t="n">
        <v>35</v>
      </c>
      <c r="N94" s="3" t="n">
        <v>0.0675</v>
      </c>
      <c r="O94" t="inlineStr">
        <is>
          <t>Tier-4</t>
        </is>
      </c>
      <c r="P94">
        <f>E94-D94</f>
        <v/>
      </c>
      <c r="Q94" s="3">
        <f>IF(D94=0,0,E94/D94-1)</f>
        <v/>
      </c>
      <c r="R94" s="2">
        <f>E94*F94</f>
        <v/>
      </c>
      <c r="S94" s="2">
        <f>H94*(F94*1.5/8)</f>
        <v/>
      </c>
      <c r="T94" s="2">
        <f>R94+S94+L94+M94</f>
        <v/>
      </c>
      <c r="U94">
        <f>IF(G94=0,0,E94/G94)</f>
        <v/>
      </c>
      <c r="V94">
        <f>IF(I94&gt;=95,"A",IF(I94&gt;=85,"B",IF(I94&gt;=75,"C","D")))</f>
        <v/>
      </c>
      <c r="W94">
        <f>ROUND((J94*35)+(I94*0.25)+(U94*0.2)+(IF(Q94&gt;0,100,MAX(0,100+Q94*100))*0.2),2)</f>
        <v/>
      </c>
      <c r="X94" s="2">
        <f>ROUND(T94*N94*IF(V94="A",1.25,IF(V94="B",1.1,IF(V94="C",0.9,0.5))),2)</f>
        <v/>
      </c>
      <c r="Y94">
        <f>IF(OR(I94&lt;80,J94&lt;0.75,E94&lt;D94*0.85),"HIGH",IF(OR(I94&lt;90,J94&lt;0.9),"MEDIUM","LOW"))</f>
        <v/>
      </c>
      <c r="Z94" s="2">
        <f>ROUND(E94*INDEX(Rules!$B$2:$B$6,MATCH(O94,Rules!$A$2:$A$6,0))*INDEX(Rules!$C$2:$C$5,MATCH(V94,Rules!$D$2:$D$5,0)),2)</f>
        <v/>
      </c>
      <c r="AA94" s="2">
        <f>Z94-T94-X94</f>
        <v/>
      </c>
      <c r="AB94" s="3">
        <f>IF(Z94=0,0,AA94/Z94)</f>
        <v/>
      </c>
      <c r="AC94">
        <f>UPPER(LEFT(A94,3)&amp;"-"&amp;LEFT(B94,3)&amp;"-"&amp;TEXT(ROW()-1,"000"))</f>
        <v/>
      </c>
      <c r="AD94">
        <f>INDEX(Rules!$E$2:$E$6,MATCH(O94,Rules!$A$2:$A$6,0))</f>
        <v/>
      </c>
      <c r="AE94" s="2">
        <f>ROUND(AA94*AD94,2)</f>
        <v/>
      </c>
      <c r="AF94">
        <f>RANK(W94,$W$2:$W$181,0)</f>
        <v/>
      </c>
      <c r="AG94">
        <f>IF(AND(AB94&gt;0.18,Y94="LOW"),"PASS",IF(AB94&gt;0.08,"WATCH","FAIL"))</f>
        <v/>
      </c>
      <c r="AH94">
        <f>IFERROR(IF(VLOOKUP(A94,Rules!$G$2:$H$13,2,FALSE)="Priority","Priority Region","Standard Region"),"Standard Region")</f>
        <v/>
      </c>
      <c r="AI94">
        <f>ROUND(SUMPRODUCT(E94:J94,{0.08,0.08,0.15,0.1,0.25,0.34}),2)</f>
        <v/>
      </c>
      <c r="AJ94" s="2">
        <f>ROUND(AE94*INDEX(Rules!$J$2:$J$5,MATCH(MONTH(K94),Rules!$I$2:$I$5,1)),2)</f>
        <v/>
      </c>
    </row>
    <row r="95">
      <c r="A95" t="inlineStr">
        <is>
          <t>Navoi</t>
        </is>
      </c>
      <c r="B95" t="inlineStr">
        <is>
          <t>Rural-3</t>
        </is>
      </c>
      <c r="C95" t="inlineStr">
        <is>
          <t>Sardor Jabborov</t>
        </is>
      </c>
      <c r="D95" t="n">
        <v>228</v>
      </c>
      <c r="E95" t="n">
        <v>232</v>
      </c>
      <c r="F95" s="2" t="n">
        <v>205</v>
      </c>
      <c r="G95" t="n">
        <v>22</v>
      </c>
      <c r="H95" t="n">
        <v>18</v>
      </c>
      <c r="I95" t="n">
        <v>76</v>
      </c>
      <c r="J95" s="3" t="n">
        <v>1.0175</v>
      </c>
      <c r="K95" s="4" t="inlineStr">
        <is>
          <t>2026-10-01</t>
        </is>
      </c>
      <c r="L95" s="2" t="n">
        <v>120</v>
      </c>
      <c r="M95" s="2" t="n">
        <v>40</v>
      </c>
      <c r="N95" s="3" t="n">
        <v>0.08</v>
      </c>
      <c r="O95" t="inlineStr">
        <is>
          <t>Tier-5</t>
        </is>
      </c>
      <c r="P95">
        <f>E95-D95</f>
        <v/>
      </c>
      <c r="Q95" s="3">
        <f>IF(D95=0,0,E95/D95-1)</f>
        <v/>
      </c>
      <c r="R95" s="2">
        <f>E95*F95</f>
        <v/>
      </c>
      <c r="S95" s="2">
        <f>H95*(F95*1.5/8)</f>
        <v/>
      </c>
      <c r="T95" s="2">
        <f>R95+S95+L95+M95</f>
        <v/>
      </c>
      <c r="U95">
        <f>IF(G95=0,0,E95/G95)</f>
        <v/>
      </c>
      <c r="V95">
        <f>IF(I95&gt;=95,"A",IF(I95&gt;=85,"B",IF(I95&gt;=75,"C","D")))</f>
        <v/>
      </c>
      <c r="W95">
        <f>ROUND((J95*35)+(I95*0.25)+(U95*0.2)+(IF(Q95&gt;0,100,MAX(0,100+Q95*100))*0.2),2)</f>
        <v/>
      </c>
      <c r="X95" s="2">
        <f>ROUND(T95*N95*IF(V95="A",1.25,IF(V95="B",1.1,IF(V95="C",0.9,0.5))),2)</f>
        <v/>
      </c>
      <c r="Y95">
        <f>IF(OR(I95&lt;80,J95&lt;0.75,E95&lt;D95*0.85),"HIGH",IF(OR(I95&lt;90,J95&lt;0.9),"MEDIUM","LOW"))</f>
        <v/>
      </c>
      <c r="Z95" s="2">
        <f>ROUND(E95*INDEX(Rules!$B$2:$B$6,MATCH(O95,Rules!$A$2:$A$6,0))*INDEX(Rules!$C$2:$C$5,MATCH(V95,Rules!$D$2:$D$5,0)),2)</f>
        <v/>
      </c>
      <c r="AA95" s="2">
        <f>Z95-T95-X95</f>
        <v/>
      </c>
      <c r="AB95" s="3">
        <f>IF(Z95=0,0,AA95/Z95)</f>
        <v/>
      </c>
      <c r="AC95">
        <f>UPPER(LEFT(A95,3)&amp;"-"&amp;LEFT(B95,3)&amp;"-"&amp;TEXT(ROW()-1,"000"))</f>
        <v/>
      </c>
      <c r="AD95">
        <f>INDEX(Rules!$E$2:$E$6,MATCH(O95,Rules!$A$2:$A$6,0))</f>
        <v/>
      </c>
      <c r="AE95" s="2">
        <f>ROUND(AA95*AD95,2)</f>
        <v/>
      </c>
      <c r="AF95">
        <f>RANK(W95,$W$2:$W$181,0)</f>
        <v/>
      </c>
      <c r="AG95">
        <f>IF(AND(AB95&gt;0.18,Y95="LOW"),"PASS",IF(AB95&gt;0.08,"WATCH","FAIL"))</f>
        <v/>
      </c>
      <c r="AH95">
        <f>IFERROR(IF(VLOOKUP(A95,Rules!$G$2:$H$13,2,FALSE)="Priority","Priority Region","Standard Region"),"Standard Region")</f>
        <v/>
      </c>
      <c r="AI95">
        <f>ROUND(SUMPRODUCT(E95:J95,{0.08,0.08,0.15,0.1,0.25,0.34}),2)</f>
        <v/>
      </c>
      <c r="AJ95" s="2">
        <f>ROUND(AE95*INDEX(Rules!$J$2:$J$5,MATCH(MONTH(K95),Rules!$I$2:$I$5,1)),2)</f>
        <v/>
      </c>
    </row>
    <row r="96">
      <c r="A96" t="inlineStr">
        <is>
          <t>Syrdarya</t>
        </is>
      </c>
      <c r="B96" t="inlineStr">
        <is>
          <t>Urban-4</t>
        </is>
      </c>
      <c r="C96" t="inlineStr">
        <is>
          <t>Kamola Rahimova</t>
        </is>
      </c>
      <c r="D96" t="n">
        <v>235</v>
      </c>
      <c r="E96" t="n">
        <v>241</v>
      </c>
      <c r="F96" s="2" t="n">
        <v>214</v>
      </c>
      <c r="G96" t="n">
        <v>23</v>
      </c>
      <c r="H96" t="n">
        <v>21</v>
      </c>
      <c r="I96" t="n">
        <v>81</v>
      </c>
      <c r="J96" s="3" t="n">
        <v>1.0255</v>
      </c>
      <c r="K96" s="4" t="inlineStr">
        <is>
          <t>2026-11-01</t>
        </is>
      </c>
      <c r="L96" s="2" t="n">
        <v>128</v>
      </c>
      <c r="M96" s="2" t="n">
        <v>45</v>
      </c>
      <c r="N96" s="3" t="n">
        <v>0.0925</v>
      </c>
      <c r="O96" t="inlineStr">
        <is>
          <t>Tier-1</t>
        </is>
      </c>
      <c r="P96">
        <f>E96-D96</f>
        <v/>
      </c>
      <c r="Q96" s="3">
        <f>IF(D96=0,0,E96/D96-1)</f>
        <v/>
      </c>
      <c r="R96" s="2">
        <f>E96*F96</f>
        <v/>
      </c>
      <c r="S96" s="2">
        <f>H96*(F96*1.5/8)</f>
        <v/>
      </c>
      <c r="T96" s="2">
        <f>R96+S96+L96+M96</f>
        <v/>
      </c>
      <c r="U96">
        <f>IF(G96=0,0,E96/G96)</f>
        <v/>
      </c>
      <c r="V96">
        <f>IF(I96&gt;=95,"A",IF(I96&gt;=85,"B",IF(I96&gt;=75,"C","D")))</f>
        <v/>
      </c>
      <c r="W96">
        <f>ROUND((J96*35)+(I96*0.25)+(U96*0.2)+(IF(Q96&gt;0,100,MAX(0,100+Q96*100))*0.2),2)</f>
        <v/>
      </c>
      <c r="X96" s="2">
        <f>ROUND(T96*N96*IF(V96="A",1.25,IF(V96="B",1.1,IF(V96="C",0.9,0.5))),2)</f>
        <v/>
      </c>
      <c r="Y96">
        <f>IF(OR(I96&lt;80,J96&lt;0.75,E96&lt;D96*0.85),"HIGH",IF(OR(I96&lt;90,J96&lt;0.9),"MEDIUM","LOW"))</f>
        <v/>
      </c>
      <c r="Z96" s="2">
        <f>ROUND(E96*INDEX(Rules!$B$2:$B$6,MATCH(O96,Rules!$A$2:$A$6,0))*INDEX(Rules!$C$2:$C$5,MATCH(V96,Rules!$D$2:$D$5,0)),2)</f>
        <v/>
      </c>
      <c r="AA96" s="2">
        <f>Z96-T96-X96</f>
        <v/>
      </c>
      <c r="AB96" s="3">
        <f>IF(Z96=0,0,AA96/Z96)</f>
        <v/>
      </c>
      <c r="AC96">
        <f>UPPER(LEFT(A96,3)&amp;"-"&amp;LEFT(B96,3)&amp;"-"&amp;TEXT(ROW()-1,"000"))</f>
        <v/>
      </c>
      <c r="AD96">
        <f>INDEX(Rules!$E$2:$E$6,MATCH(O96,Rules!$A$2:$A$6,0))</f>
        <v/>
      </c>
      <c r="AE96" s="2">
        <f>ROUND(AA96*AD96,2)</f>
        <v/>
      </c>
      <c r="AF96">
        <f>RANK(W96,$W$2:$W$181,0)</f>
        <v/>
      </c>
      <c r="AG96">
        <f>IF(AND(AB96&gt;0.18,Y96="LOW"),"PASS",IF(AB96&gt;0.08,"WATCH","FAIL"))</f>
        <v/>
      </c>
      <c r="AH96">
        <f>IFERROR(IF(VLOOKUP(A96,Rules!$G$2:$H$13,2,FALSE)="Priority","Priority Region","Standard Region"),"Standard Region")</f>
        <v/>
      </c>
      <c r="AI96">
        <f>ROUND(SUMPRODUCT(E96:J96,{0.08,0.08,0.15,0.1,0.25,0.34}),2)</f>
        <v/>
      </c>
      <c r="AJ96" s="2">
        <f>ROUND(AE96*INDEX(Rules!$J$2:$J$5,MATCH(MONTH(K96),Rules!$I$2:$I$5,1)),2)</f>
        <v/>
      </c>
    </row>
    <row r="97">
      <c r="A97" t="inlineStr">
        <is>
          <t>Tashkent</t>
        </is>
      </c>
      <c r="B97" t="inlineStr">
        <is>
          <t>Central-1</t>
        </is>
      </c>
      <c r="C97" t="inlineStr">
        <is>
          <t>Aziza Karimova</t>
        </is>
      </c>
      <c r="D97" t="n">
        <v>242</v>
      </c>
      <c r="E97" t="n">
        <v>255</v>
      </c>
      <c r="F97" s="2" t="n">
        <v>223</v>
      </c>
      <c r="G97" t="n">
        <v>24</v>
      </c>
      <c r="H97" t="n">
        <v>2</v>
      </c>
      <c r="I97" t="n">
        <v>86</v>
      </c>
      <c r="J97" s="3" t="n">
        <v>1.0537</v>
      </c>
      <c r="K97" s="4" t="inlineStr">
        <is>
          <t>2026-12-01</t>
        </is>
      </c>
      <c r="L97" s="2" t="n">
        <v>40</v>
      </c>
      <c r="M97" s="2" t="n">
        <v>50</v>
      </c>
      <c r="N97" s="3" t="n">
        <v>0.03</v>
      </c>
      <c r="O97" t="inlineStr">
        <is>
          <t>Tier-2</t>
        </is>
      </c>
      <c r="P97">
        <f>E97-D97</f>
        <v/>
      </c>
      <c r="Q97" s="3">
        <f>IF(D97=0,0,E97/D97-1)</f>
        <v/>
      </c>
      <c r="R97" s="2">
        <f>E97*F97</f>
        <v/>
      </c>
      <c r="S97" s="2">
        <f>H97*(F97*1.5/8)</f>
        <v/>
      </c>
      <c r="T97" s="2">
        <f>R97+S97+L97+M97</f>
        <v/>
      </c>
      <c r="U97">
        <f>IF(G97=0,0,E97/G97)</f>
        <v/>
      </c>
      <c r="V97">
        <f>IF(I97&gt;=95,"A",IF(I97&gt;=85,"B",IF(I97&gt;=75,"C","D")))</f>
        <v/>
      </c>
      <c r="W97">
        <f>ROUND((J97*35)+(I97*0.25)+(U97*0.2)+(IF(Q97&gt;0,100,MAX(0,100+Q97*100))*0.2),2)</f>
        <v/>
      </c>
      <c r="X97" s="2">
        <f>ROUND(T97*N97*IF(V97="A",1.25,IF(V97="B",1.1,IF(V97="C",0.9,0.5))),2)</f>
        <v/>
      </c>
      <c r="Y97">
        <f>IF(OR(I97&lt;80,J97&lt;0.75,E97&lt;D97*0.85),"HIGH",IF(OR(I97&lt;90,J97&lt;0.9),"MEDIUM","LOW"))</f>
        <v/>
      </c>
      <c r="Z97" s="2">
        <f>ROUND(E97*INDEX(Rules!$B$2:$B$6,MATCH(O97,Rules!$A$2:$A$6,0))*INDEX(Rules!$C$2:$C$5,MATCH(V97,Rules!$D$2:$D$5,0)),2)</f>
        <v/>
      </c>
      <c r="AA97" s="2">
        <f>Z97-T97-X97</f>
        <v/>
      </c>
      <c r="AB97" s="3">
        <f>IF(Z97=0,0,AA97/Z97)</f>
        <v/>
      </c>
      <c r="AC97">
        <f>UPPER(LEFT(A97,3)&amp;"-"&amp;LEFT(B97,3)&amp;"-"&amp;TEXT(ROW()-1,"000"))</f>
        <v/>
      </c>
      <c r="AD97">
        <f>INDEX(Rules!$E$2:$E$6,MATCH(O97,Rules!$A$2:$A$6,0))</f>
        <v/>
      </c>
      <c r="AE97" s="2">
        <f>ROUND(AA97*AD97,2)</f>
        <v/>
      </c>
      <c r="AF97">
        <f>RANK(W97,$W$2:$W$181,0)</f>
        <v/>
      </c>
      <c r="AG97">
        <f>IF(AND(AB97&gt;0.18,Y97="LOW"),"PASS",IF(AB97&gt;0.08,"WATCH","FAIL"))</f>
        <v/>
      </c>
      <c r="AH97">
        <f>IFERROR(IF(VLOOKUP(A97,Rules!$G$2:$H$13,2,FALSE)="Priority","Priority Region","Standard Region"),"Standard Region")</f>
        <v/>
      </c>
      <c r="AI97">
        <f>ROUND(SUMPRODUCT(E97:J97,{0.08,0.08,0.15,0.1,0.25,0.34}),2)</f>
        <v/>
      </c>
      <c r="AJ97" s="2">
        <f>ROUND(AE97*INDEX(Rules!$J$2:$J$5,MATCH(MONTH(K97),Rules!$I$2:$I$5,1)),2)</f>
        <v/>
      </c>
    </row>
    <row r="98">
      <c r="A98" t="inlineStr">
        <is>
          <t>Samarkand</t>
        </is>
      </c>
      <c r="B98" t="inlineStr">
        <is>
          <t>North-2</t>
        </is>
      </c>
      <c r="C98" t="inlineStr">
        <is>
          <t>Bekzod Aliyev</t>
        </is>
      </c>
      <c r="D98" t="n">
        <v>249</v>
      </c>
      <c r="E98" t="n">
        <v>269</v>
      </c>
      <c r="F98" s="2" t="n">
        <v>232</v>
      </c>
      <c r="G98" t="n">
        <v>25</v>
      </c>
      <c r="H98" t="n">
        <v>5</v>
      </c>
      <c r="I98" t="n">
        <v>91</v>
      </c>
      <c r="J98" s="3" t="n">
        <v>1.0803</v>
      </c>
      <c r="K98" s="4" t="inlineStr">
        <is>
          <t>2026-01-01</t>
        </is>
      </c>
      <c r="L98" s="2" t="n">
        <v>48</v>
      </c>
      <c r="M98" s="2" t="n">
        <v>55</v>
      </c>
      <c r="N98" s="3" t="n">
        <v>0.0425</v>
      </c>
      <c r="O98" t="inlineStr">
        <is>
          <t>Tier-3</t>
        </is>
      </c>
      <c r="P98">
        <f>E98-D98</f>
        <v/>
      </c>
      <c r="Q98" s="3">
        <f>IF(D98=0,0,E98/D98-1)</f>
        <v/>
      </c>
      <c r="R98" s="2">
        <f>E98*F98</f>
        <v/>
      </c>
      <c r="S98" s="2">
        <f>H98*(F98*1.5/8)</f>
        <v/>
      </c>
      <c r="T98" s="2">
        <f>R98+S98+L98+M98</f>
        <v/>
      </c>
      <c r="U98">
        <f>IF(G98=0,0,E98/G98)</f>
        <v/>
      </c>
      <c r="V98">
        <f>IF(I98&gt;=95,"A",IF(I98&gt;=85,"B",IF(I98&gt;=75,"C","D")))</f>
        <v/>
      </c>
      <c r="W98">
        <f>ROUND((J98*35)+(I98*0.25)+(U98*0.2)+(IF(Q98&gt;0,100,MAX(0,100+Q98*100))*0.2),2)</f>
        <v/>
      </c>
      <c r="X98" s="2">
        <f>ROUND(T98*N98*IF(V98="A",1.25,IF(V98="B",1.1,IF(V98="C",0.9,0.5))),2)</f>
        <v/>
      </c>
      <c r="Y98">
        <f>IF(OR(I98&lt;80,J98&lt;0.75,E98&lt;D98*0.85),"HIGH",IF(OR(I98&lt;90,J98&lt;0.9),"MEDIUM","LOW"))</f>
        <v/>
      </c>
      <c r="Z98" s="2">
        <f>ROUND(E98*INDEX(Rules!$B$2:$B$6,MATCH(O98,Rules!$A$2:$A$6,0))*INDEX(Rules!$C$2:$C$5,MATCH(V98,Rules!$D$2:$D$5,0)),2)</f>
        <v/>
      </c>
      <c r="AA98" s="2">
        <f>Z98-T98-X98</f>
        <v/>
      </c>
      <c r="AB98" s="3">
        <f>IF(Z98=0,0,AA98/Z98)</f>
        <v/>
      </c>
      <c r="AC98">
        <f>UPPER(LEFT(A98,3)&amp;"-"&amp;LEFT(B98,3)&amp;"-"&amp;TEXT(ROW()-1,"000"))</f>
        <v/>
      </c>
      <c r="AD98">
        <f>INDEX(Rules!$E$2:$E$6,MATCH(O98,Rules!$A$2:$A$6,0))</f>
        <v/>
      </c>
      <c r="AE98" s="2">
        <f>ROUND(AA98*AD98,2)</f>
        <v/>
      </c>
      <c r="AF98">
        <f>RANK(W98,$W$2:$W$181,0)</f>
        <v/>
      </c>
      <c r="AG98">
        <f>IF(AND(AB98&gt;0.18,Y98="LOW"),"PASS",IF(AB98&gt;0.08,"WATCH","FAIL"))</f>
        <v/>
      </c>
      <c r="AH98">
        <f>IFERROR(IF(VLOOKUP(A98,Rules!$G$2:$H$13,2,FALSE)="Priority","Priority Region","Standard Region"),"Standard Region")</f>
        <v/>
      </c>
      <c r="AI98">
        <f>ROUND(SUMPRODUCT(E98:J98,{0.08,0.08,0.15,0.1,0.25,0.34}),2)</f>
        <v/>
      </c>
      <c r="AJ98" s="2">
        <f>ROUND(AE98*INDEX(Rules!$J$2:$J$5,MATCH(MONTH(K98),Rules!$I$2:$I$5,1)),2)</f>
        <v/>
      </c>
    </row>
    <row r="99">
      <c r="A99" t="inlineStr">
        <is>
          <t>Bukhara</t>
        </is>
      </c>
      <c r="B99" t="inlineStr">
        <is>
          <t>South-3</t>
        </is>
      </c>
      <c r="C99" t="inlineStr">
        <is>
          <t>Dilshod Rustamov</t>
        </is>
      </c>
      <c r="D99" t="n">
        <v>86</v>
      </c>
      <c r="E99" t="n">
        <v>113</v>
      </c>
      <c r="F99" s="2" t="n">
        <v>115</v>
      </c>
      <c r="G99" t="n">
        <v>26</v>
      </c>
      <c r="H99" t="n">
        <v>8</v>
      </c>
      <c r="I99" t="n">
        <v>96</v>
      </c>
      <c r="J99" s="3" t="n">
        <v>1.314</v>
      </c>
      <c r="K99" s="4" t="inlineStr">
        <is>
          <t>2026-02-01</t>
        </is>
      </c>
      <c r="L99" s="2" t="n">
        <v>56</v>
      </c>
      <c r="M99" s="2" t="n">
        <v>60</v>
      </c>
      <c r="N99" s="3" t="n">
        <v>0.055</v>
      </c>
      <c r="O99" t="inlineStr">
        <is>
          <t>Tier-4</t>
        </is>
      </c>
      <c r="P99">
        <f>E99-D99</f>
        <v/>
      </c>
      <c r="Q99" s="3">
        <f>IF(D99=0,0,E99/D99-1)</f>
        <v/>
      </c>
      <c r="R99" s="2">
        <f>E99*F99</f>
        <v/>
      </c>
      <c r="S99" s="2">
        <f>H99*(F99*1.5/8)</f>
        <v/>
      </c>
      <c r="T99" s="2">
        <f>R99+S99+L99+M99</f>
        <v/>
      </c>
      <c r="U99">
        <f>IF(G99=0,0,E99/G99)</f>
        <v/>
      </c>
      <c r="V99">
        <f>IF(I99&gt;=95,"A",IF(I99&gt;=85,"B",IF(I99&gt;=75,"C","D")))</f>
        <v/>
      </c>
      <c r="W99">
        <f>ROUND((J99*35)+(I99*0.25)+(U99*0.2)+(IF(Q99&gt;0,100,MAX(0,100+Q99*100))*0.2),2)</f>
        <v/>
      </c>
      <c r="X99" s="2">
        <f>ROUND(T99*N99*IF(V99="A",1.25,IF(V99="B",1.1,IF(V99="C",0.9,0.5))),2)</f>
        <v/>
      </c>
      <c r="Y99">
        <f>IF(OR(I99&lt;80,J99&lt;0.75,E99&lt;D99*0.85),"HIGH",IF(OR(I99&lt;90,J99&lt;0.9),"MEDIUM","LOW"))</f>
        <v/>
      </c>
      <c r="Z99" s="2">
        <f>ROUND(E99*INDEX(Rules!$B$2:$B$6,MATCH(O99,Rules!$A$2:$A$6,0))*INDEX(Rules!$C$2:$C$5,MATCH(V99,Rules!$D$2:$D$5,0)),2)</f>
        <v/>
      </c>
      <c r="AA99" s="2">
        <f>Z99-T99-X99</f>
        <v/>
      </c>
      <c r="AB99" s="3">
        <f>IF(Z99=0,0,AA99/Z99)</f>
        <v/>
      </c>
      <c r="AC99">
        <f>UPPER(LEFT(A99,3)&amp;"-"&amp;LEFT(B99,3)&amp;"-"&amp;TEXT(ROW()-1,"000"))</f>
        <v/>
      </c>
      <c r="AD99">
        <f>INDEX(Rules!$E$2:$E$6,MATCH(O99,Rules!$A$2:$A$6,0))</f>
        <v/>
      </c>
      <c r="AE99" s="2">
        <f>ROUND(AA99*AD99,2)</f>
        <v/>
      </c>
      <c r="AF99">
        <f>RANK(W99,$W$2:$W$181,0)</f>
        <v/>
      </c>
      <c r="AG99">
        <f>IF(AND(AB99&gt;0.18,Y99="LOW"),"PASS",IF(AB99&gt;0.08,"WATCH","FAIL"))</f>
        <v/>
      </c>
      <c r="AH99">
        <f>IFERROR(IF(VLOOKUP(A99,Rules!$G$2:$H$13,2,FALSE)="Priority","Priority Region","Standard Region"),"Standard Region")</f>
        <v/>
      </c>
      <c r="AI99">
        <f>ROUND(SUMPRODUCT(E99:J99,{0.08,0.08,0.15,0.1,0.25,0.34}),2)</f>
        <v/>
      </c>
      <c r="AJ99" s="2">
        <f>ROUND(AE99*INDEX(Rules!$J$2:$J$5,MATCH(MONTH(K99),Rules!$I$2:$I$5,1)),2)</f>
        <v/>
      </c>
    </row>
    <row r="100">
      <c r="A100" t="inlineStr">
        <is>
          <t>Andijan</t>
        </is>
      </c>
      <c r="B100" t="inlineStr">
        <is>
          <t>East-4</t>
        </is>
      </c>
      <c r="C100" t="inlineStr">
        <is>
          <t>Malika Ergasheva</t>
        </is>
      </c>
      <c r="D100" t="n">
        <v>93</v>
      </c>
      <c r="E100" t="n">
        <v>73</v>
      </c>
      <c r="F100" s="2" t="n">
        <v>124</v>
      </c>
      <c r="G100" t="n">
        <v>18</v>
      </c>
      <c r="H100" t="n">
        <v>11</v>
      </c>
      <c r="I100" t="n">
        <v>68</v>
      </c>
      <c r="J100" s="3" t="n">
        <v>0.7849</v>
      </c>
      <c r="K100" s="4" t="inlineStr">
        <is>
          <t>2026-03-01</t>
        </is>
      </c>
      <c r="L100" s="2" t="n">
        <v>64</v>
      </c>
      <c r="M100" s="2" t="n">
        <v>65</v>
      </c>
      <c r="N100" s="3" t="n">
        <v>0.0675</v>
      </c>
      <c r="O100" t="inlineStr">
        <is>
          <t>Tier-5</t>
        </is>
      </c>
      <c r="P100">
        <f>E100-D100</f>
        <v/>
      </c>
      <c r="Q100" s="3">
        <f>IF(D100=0,0,E100/D100-1)</f>
        <v/>
      </c>
      <c r="R100" s="2">
        <f>E100*F100</f>
        <v/>
      </c>
      <c r="S100" s="2">
        <f>H100*(F100*1.5/8)</f>
        <v/>
      </c>
      <c r="T100" s="2">
        <f>R100+S100+L100+M100</f>
        <v/>
      </c>
      <c r="U100">
        <f>IF(G100=0,0,E100/G100)</f>
        <v/>
      </c>
      <c r="V100">
        <f>IF(I100&gt;=95,"A",IF(I100&gt;=85,"B",IF(I100&gt;=75,"C","D")))</f>
        <v/>
      </c>
      <c r="W100">
        <f>ROUND((J100*35)+(I100*0.25)+(U100*0.2)+(IF(Q100&gt;0,100,MAX(0,100+Q100*100))*0.2),2)</f>
        <v/>
      </c>
      <c r="X100" s="2">
        <f>ROUND(T100*N100*IF(V100="A",1.25,IF(V100="B",1.1,IF(V100="C",0.9,0.5))),2)</f>
        <v/>
      </c>
      <c r="Y100">
        <f>IF(OR(I100&lt;80,J100&lt;0.75,E100&lt;D100*0.85),"HIGH",IF(OR(I100&lt;90,J100&lt;0.9),"MEDIUM","LOW"))</f>
        <v/>
      </c>
      <c r="Z100" s="2">
        <f>ROUND(E100*INDEX(Rules!$B$2:$B$6,MATCH(O100,Rules!$A$2:$A$6,0))*INDEX(Rules!$C$2:$C$5,MATCH(V100,Rules!$D$2:$D$5,0)),2)</f>
        <v/>
      </c>
      <c r="AA100" s="2">
        <f>Z100-T100-X100</f>
        <v/>
      </c>
      <c r="AB100" s="3">
        <f>IF(Z100=0,0,AA100/Z100)</f>
        <v/>
      </c>
      <c r="AC100">
        <f>UPPER(LEFT(A100,3)&amp;"-"&amp;LEFT(B100,3)&amp;"-"&amp;TEXT(ROW()-1,"000"))</f>
        <v/>
      </c>
      <c r="AD100">
        <f>INDEX(Rules!$E$2:$E$6,MATCH(O100,Rules!$A$2:$A$6,0))</f>
        <v/>
      </c>
      <c r="AE100" s="2">
        <f>ROUND(AA100*AD100,2)</f>
        <v/>
      </c>
      <c r="AF100">
        <f>RANK(W100,$W$2:$W$181,0)</f>
        <v/>
      </c>
      <c r="AG100">
        <f>IF(AND(AB100&gt;0.18,Y100="LOW"),"PASS",IF(AB100&gt;0.08,"WATCH","FAIL"))</f>
        <v/>
      </c>
      <c r="AH100">
        <f>IFERROR(IF(VLOOKUP(A100,Rules!$G$2:$H$13,2,FALSE)="Priority","Priority Region","Standard Region"),"Standard Region")</f>
        <v/>
      </c>
      <c r="AI100">
        <f>ROUND(SUMPRODUCT(E100:J100,{0.08,0.08,0.15,0.1,0.25,0.34}),2)</f>
        <v/>
      </c>
      <c r="AJ100" s="2">
        <f>ROUND(AE100*INDEX(Rules!$J$2:$J$5,MATCH(MONTH(K100),Rules!$I$2:$I$5,1)),2)</f>
        <v/>
      </c>
    </row>
    <row r="101">
      <c r="A101" t="inlineStr">
        <is>
          <t>Namangan</t>
        </is>
      </c>
      <c r="B101" t="inlineStr">
        <is>
          <t>West-1</t>
        </is>
      </c>
      <c r="C101" t="inlineStr">
        <is>
          <t>Shahzod Islomov</t>
        </is>
      </c>
      <c r="D101" t="n">
        <v>100</v>
      </c>
      <c r="E101" t="n">
        <v>82</v>
      </c>
      <c r="F101" s="2" t="n">
        <v>133</v>
      </c>
      <c r="G101" t="n">
        <v>19</v>
      </c>
      <c r="H101" t="n">
        <v>14</v>
      </c>
      <c r="I101" t="n">
        <v>73</v>
      </c>
      <c r="J101" s="3" t="n">
        <v>0.82</v>
      </c>
      <c r="K101" s="4" t="inlineStr">
        <is>
          <t>2026-04-01</t>
        </is>
      </c>
      <c r="L101" s="2" t="n">
        <v>72</v>
      </c>
      <c r="M101" s="2" t="n">
        <v>20</v>
      </c>
      <c r="N101" s="3" t="n">
        <v>0.08</v>
      </c>
      <c r="O101" t="inlineStr">
        <is>
          <t>Tier-1</t>
        </is>
      </c>
      <c r="P101">
        <f>E101-D101</f>
        <v/>
      </c>
      <c r="Q101" s="3">
        <f>IF(D101=0,0,E101/D101-1)</f>
        <v/>
      </c>
      <c r="R101" s="2">
        <f>E101*F101</f>
        <v/>
      </c>
      <c r="S101" s="2">
        <f>H101*(F101*1.5/8)</f>
        <v/>
      </c>
      <c r="T101" s="2">
        <f>R101+S101+L101+M101</f>
        <v/>
      </c>
      <c r="U101">
        <f>IF(G101=0,0,E101/G101)</f>
        <v/>
      </c>
      <c r="V101">
        <f>IF(I101&gt;=95,"A",IF(I101&gt;=85,"B",IF(I101&gt;=75,"C","D")))</f>
        <v/>
      </c>
      <c r="W101">
        <f>ROUND((J101*35)+(I101*0.25)+(U101*0.2)+(IF(Q101&gt;0,100,MAX(0,100+Q101*100))*0.2),2)</f>
        <v/>
      </c>
      <c r="X101" s="2">
        <f>ROUND(T101*N101*IF(V101="A",1.25,IF(V101="B",1.1,IF(V101="C",0.9,0.5))),2)</f>
        <v/>
      </c>
      <c r="Y101">
        <f>IF(OR(I101&lt;80,J101&lt;0.75,E101&lt;D101*0.85),"HIGH",IF(OR(I101&lt;90,J101&lt;0.9),"MEDIUM","LOW"))</f>
        <v/>
      </c>
      <c r="Z101" s="2">
        <f>ROUND(E101*INDEX(Rules!$B$2:$B$6,MATCH(O101,Rules!$A$2:$A$6,0))*INDEX(Rules!$C$2:$C$5,MATCH(V101,Rules!$D$2:$D$5,0)),2)</f>
        <v/>
      </c>
      <c r="AA101" s="2">
        <f>Z101-T101-X101</f>
        <v/>
      </c>
      <c r="AB101" s="3">
        <f>IF(Z101=0,0,AA101/Z101)</f>
        <v/>
      </c>
      <c r="AC101">
        <f>UPPER(LEFT(A101,3)&amp;"-"&amp;LEFT(B101,3)&amp;"-"&amp;TEXT(ROW()-1,"000"))</f>
        <v/>
      </c>
      <c r="AD101">
        <f>INDEX(Rules!$E$2:$E$6,MATCH(O101,Rules!$A$2:$A$6,0))</f>
        <v/>
      </c>
      <c r="AE101" s="2">
        <f>ROUND(AA101*AD101,2)</f>
        <v/>
      </c>
      <c r="AF101">
        <f>RANK(W101,$W$2:$W$181,0)</f>
        <v/>
      </c>
      <c r="AG101">
        <f>IF(AND(AB101&gt;0.18,Y101="LOW"),"PASS",IF(AB101&gt;0.08,"WATCH","FAIL"))</f>
        <v/>
      </c>
      <c r="AH101">
        <f>IFERROR(IF(VLOOKUP(A101,Rules!$G$2:$H$13,2,FALSE)="Priority","Priority Region","Standard Region"),"Standard Region")</f>
        <v/>
      </c>
      <c r="AI101">
        <f>ROUND(SUMPRODUCT(E101:J101,{0.08,0.08,0.15,0.1,0.25,0.34}),2)</f>
        <v/>
      </c>
      <c r="AJ101" s="2">
        <f>ROUND(AE101*INDEX(Rules!$J$2:$J$5,MATCH(MONTH(K101),Rules!$I$2:$I$5,1)),2)</f>
        <v/>
      </c>
    </row>
    <row r="102">
      <c r="A102" t="inlineStr">
        <is>
          <t>Fergana</t>
        </is>
      </c>
      <c r="B102" t="inlineStr">
        <is>
          <t>Industrial-2</t>
        </is>
      </c>
      <c r="C102" t="inlineStr">
        <is>
          <t>Nilufar Tursunova</t>
        </is>
      </c>
      <c r="D102" t="n">
        <v>107</v>
      </c>
      <c r="E102" t="n">
        <v>96</v>
      </c>
      <c r="F102" s="2" t="n">
        <v>142</v>
      </c>
      <c r="G102" t="n">
        <v>20</v>
      </c>
      <c r="H102" t="n">
        <v>17</v>
      </c>
      <c r="I102" t="n">
        <v>78</v>
      </c>
      <c r="J102" s="3" t="n">
        <v>0.8972</v>
      </c>
      <c r="K102" s="4" t="inlineStr">
        <is>
          <t>2026-05-01</t>
        </is>
      </c>
      <c r="L102" s="2" t="n">
        <v>80</v>
      </c>
      <c r="M102" s="2" t="n">
        <v>25</v>
      </c>
      <c r="N102" s="3" t="n">
        <v>0.0925</v>
      </c>
      <c r="O102" t="inlineStr">
        <is>
          <t>Tier-2</t>
        </is>
      </c>
      <c r="P102">
        <f>E102-D102</f>
        <v/>
      </c>
      <c r="Q102" s="3">
        <f>IF(D102=0,0,E102/D102-1)</f>
        <v/>
      </c>
      <c r="R102" s="2">
        <f>E102*F102</f>
        <v/>
      </c>
      <c r="S102" s="2">
        <f>H102*(F102*1.5/8)</f>
        <v/>
      </c>
      <c r="T102" s="2">
        <f>R102+S102+L102+M102</f>
        <v/>
      </c>
      <c r="U102">
        <f>IF(G102=0,0,E102/G102)</f>
        <v/>
      </c>
      <c r="V102">
        <f>IF(I102&gt;=95,"A",IF(I102&gt;=85,"B",IF(I102&gt;=75,"C","D")))</f>
        <v/>
      </c>
      <c r="W102">
        <f>ROUND((J102*35)+(I102*0.25)+(U102*0.2)+(IF(Q102&gt;0,100,MAX(0,100+Q102*100))*0.2),2)</f>
        <v/>
      </c>
      <c r="X102" s="2">
        <f>ROUND(T102*N102*IF(V102="A",1.25,IF(V102="B",1.1,IF(V102="C",0.9,0.5))),2)</f>
        <v/>
      </c>
      <c r="Y102">
        <f>IF(OR(I102&lt;80,J102&lt;0.75,E102&lt;D102*0.85),"HIGH",IF(OR(I102&lt;90,J102&lt;0.9),"MEDIUM","LOW"))</f>
        <v/>
      </c>
      <c r="Z102" s="2">
        <f>ROUND(E102*INDEX(Rules!$B$2:$B$6,MATCH(O102,Rules!$A$2:$A$6,0))*INDEX(Rules!$C$2:$C$5,MATCH(V102,Rules!$D$2:$D$5,0)),2)</f>
        <v/>
      </c>
      <c r="AA102" s="2">
        <f>Z102-T102-X102</f>
        <v/>
      </c>
      <c r="AB102" s="3">
        <f>IF(Z102=0,0,AA102/Z102)</f>
        <v/>
      </c>
      <c r="AC102">
        <f>UPPER(LEFT(A102,3)&amp;"-"&amp;LEFT(B102,3)&amp;"-"&amp;TEXT(ROW()-1,"000"))</f>
        <v/>
      </c>
      <c r="AD102">
        <f>INDEX(Rules!$E$2:$E$6,MATCH(O102,Rules!$A$2:$A$6,0))</f>
        <v/>
      </c>
      <c r="AE102" s="2">
        <f>ROUND(AA102*AD102,2)</f>
        <v/>
      </c>
      <c r="AF102">
        <f>RANK(W102,$W$2:$W$181,0)</f>
        <v/>
      </c>
      <c r="AG102">
        <f>IF(AND(AB102&gt;0.18,Y102="LOW"),"PASS",IF(AB102&gt;0.08,"WATCH","FAIL"))</f>
        <v/>
      </c>
      <c r="AH102">
        <f>IFERROR(IF(VLOOKUP(A102,Rules!$G$2:$H$13,2,FALSE)="Priority","Priority Region","Standard Region"),"Standard Region")</f>
        <v/>
      </c>
      <c r="AI102">
        <f>ROUND(SUMPRODUCT(E102:J102,{0.08,0.08,0.15,0.1,0.25,0.34}),2)</f>
        <v/>
      </c>
      <c r="AJ102" s="2">
        <f>ROUND(AE102*INDEX(Rules!$J$2:$J$5,MATCH(MONTH(K102),Rules!$I$2:$I$5,1)),2)</f>
        <v/>
      </c>
    </row>
    <row r="103">
      <c r="A103" t="inlineStr">
        <is>
          <t>Kashkadarya</t>
        </is>
      </c>
      <c r="B103" t="inlineStr">
        <is>
          <t>Rural-3</t>
        </is>
      </c>
      <c r="C103" t="inlineStr">
        <is>
          <t>Sardor Jabborov</t>
        </is>
      </c>
      <c r="D103" t="n">
        <v>114</v>
      </c>
      <c r="E103" t="n">
        <v>110</v>
      </c>
      <c r="F103" s="2" t="n">
        <v>151</v>
      </c>
      <c r="G103" t="n">
        <v>21</v>
      </c>
      <c r="H103" t="n">
        <v>20</v>
      </c>
      <c r="I103" t="n">
        <v>83</v>
      </c>
      <c r="J103" s="3" t="n">
        <v>0.9649</v>
      </c>
      <c r="K103" s="4" t="inlineStr">
        <is>
          <t>2026-06-01</t>
        </is>
      </c>
      <c r="L103" s="2" t="n">
        <v>88</v>
      </c>
      <c r="M103" s="2" t="n">
        <v>30</v>
      </c>
      <c r="N103" s="3" t="n">
        <v>0.03</v>
      </c>
      <c r="O103" t="inlineStr">
        <is>
          <t>Tier-3</t>
        </is>
      </c>
      <c r="P103">
        <f>E103-D103</f>
        <v/>
      </c>
      <c r="Q103" s="3">
        <f>IF(D103=0,0,E103/D103-1)</f>
        <v/>
      </c>
      <c r="R103" s="2">
        <f>E103*F103</f>
        <v/>
      </c>
      <c r="S103" s="2">
        <f>H103*(F103*1.5/8)</f>
        <v/>
      </c>
      <c r="T103" s="2">
        <f>R103+S103+L103+M103</f>
        <v/>
      </c>
      <c r="U103">
        <f>IF(G103=0,0,E103/G103)</f>
        <v/>
      </c>
      <c r="V103">
        <f>IF(I103&gt;=95,"A",IF(I103&gt;=85,"B",IF(I103&gt;=75,"C","D")))</f>
        <v/>
      </c>
      <c r="W103">
        <f>ROUND((J103*35)+(I103*0.25)+(U103*0.2)+(IF(Q103&gt;0,100,MAX(0,100+Q103*100))*0.2),2)</f>
        <v/>
      </c>
      <c r="X103" s="2">
        <f>ROUND(T103*N103*IF(V103="A",1.25,IF(V103="B",1.1,IF(V103="C",0.9,0.5))),2)</f>
        <v/>
      </c>
      <c r="Y103">
        <f>IF(OR(I103&lt;80,J103&lt;0.75,E103&lt;D103*0.85),"HIGH",IF(OR(I103&lt;90,J103&lt;0.9),"MEDIUM","LOW"))</f>
        <v/>
      </c>
      <c r="Z103" s="2">
        <f>ROUND(E103*INDEX(Rules!$B$2:$B$6,MATCH(O103,Rules!$A$2:$A$6,0))*INDEX(Rules!$C$2:$C$5,MATCH(V103,Rules!$D$2:$D$5,0)),2)</f>
        <v/>
      </c>
      <c r="AA103" s="2">
        <f>Z103-T103-X103</f>
        <v/>
      </c>
      <c r="AB103" s="3">
        <f>IF(Z103=0,0,AA103/Z103)</f>
        <v/>
      </c>
      <c r="AC103">
        <f>UPPER(LEFT(A103,3)&amp;"-"&amp;LEFT(B103,3)&amp;"-"&amp;TEXT(ROW()-1,"000"))</f>
        <v/>
      </c>
      <c r="AD103">
        <f>INDEX(Rules!$E$2:$E$6,MATCH(O103,Rules!$A$2:$A$6,0))</f>
        <v/>
      </c>
      <c r="AE103" s="2">
        <f>ROUND(AA103*AD103,2)</f>
        <v/>
      </c>
      <c r="AF103">
        <f>RANK(W103,$W$2:$W$181,0)</f>
        <v/>
      </c>
      <c r="AG103">
        <f>IF(AND(AB103&gt;0.18,Y103="LOW"),"PASS",IF(AB103&gt;0.08,"WATCH","FAIL"))</f>
        <v/>
      </c>
      <c r="AH103">
        <f>IFERROR(IF(VLOOKUP(A103,Rules!$G$2:$H$13,2,FALSE)="Priority","Priority Region","Standard Region"),"Standard Region")</f>
        <v/>
      </c>
      <c r="AI103">
        <f>ROUND(SUMPRODUCT(E103:J103,{0.08,0.08,0.15,0.1,0.25,0.34}),2)</f>
        <v/>
      </c>
      <c r="AJ103" s="2">
        <f>ROUND(AE103*INDEX(Rules!$J$2:$J$5,MATCH(MONTH(K103),Rules!$I$2:$I$5,1)),2)</f>
        <v/>
      </c>
    </row>
    <row r="104">
      <c r="A104" t="inlineStr">
        <is>
          <t>Surkhandarya</t>
        </is>
      </c>
      <c r="B104" t="inlineStr">
        <is>
          <t>Urban-4</t>
        </is>
      </c>
      <c r="C104" t="inlineStr">
        <is>
          <t>Kamola Rahimova</t>
        </is>
      </c>
      <c r="D104" t="n">
        <v>121</v>
      </c>
      <c r="E104" t="n">
        <v>124</v>
      </c>
      <c r="F104" s="2" t="n">
        <v>160</v>
      </c>
      <c r="G104" t="n">
        <v>22</v>
      </c>
      <c r="H104" t="n">
        <v>1</v>
      </c>
      <c r="I104" t="n">
        <v>88</v>
      </c>
      <c r="J104" s="3" t="n">
        <v>1.0248</v>
      </c>
      <c r="K104" s="4" t="inlineStr">
        <is>
          <t>2026-07-01</t>
        </is>
      </c>
      <c r="L104" s="2" t="n">
        <v>96</v>
      </c>
      <c r="M104" s="2" t="n">
        <v>35</v>
      </c>
      <c r="N104" s="3" t="n">
        <v>0.0425</v>
      </c>
      <c r="O104" t="inlineStr">
        <is>
          <t>Tier-4</t>
        </is>
      </c>
      <c r="P104">
        <f>E104-D104</f>
        <v/>
      </c>
      <c r="Q104" s="3">
        <f>IF(D104=0,0,E104/D104-1)</f>
        <v/>
      </c>
      <c r="R104" s="2">
        <f>E104*F104</f>
        <v/>
      </c>
      <c r="S104" s="2">
        <f>H104*(F104*1.5/8)</f>
        <v/>
      </c>
      <c r="T104" s="2">
        <f>R104+S104+L104+M104</f>
        <v/>
      </c>
      <c r="U104">
        <f>IF(G104=0,0,E104/G104)</f>
        <v/>
      </c>
      <c r="V104">
        <f>IF(I104&gt;=95,"A",IF(I104&gt;=85,"B",IF(I104&gt;=75,"C","D")))</f>
        <v/>
      </c>
      <c r="W104">
        <f>ROUND((J104*35)+(I104*0.25)+(U104*0.2)+(IF(Q104&gt;0,100,MAX(0,100+Q104*100))*0.2),2)</f>
        <v/>
      </c>
      <c r="X104" s="2">
        <f>ROUND(T104*N104*IF(V104="A",1.25,IF(V104="B",1.1,IF(V104="C",0.9,0.5))),2)</f>
        <v/>
      </c>
      <c r="Y104">
        <f>IF(OR(I104&lt;80,J104&lt;0.75,E104&lt;D104*0.85),"HIGH",IF(OR(I104&lt;90,J104&lt;0.9),"MEDIUM","LOW"))</f>
        <v/>
      </c>
      <c r="Z104" s="2">
        <f>ROUND(E104*INDEX(Rules!$B$2:$B$6,MATCH(O104,Rules!$A$2:$A$6,0))*INDEX(Rules!$C$2:$C$5,MATCH(V104,Rules!$D$2:$D$5,0)),2)</f>
        <v/>
      </c>
      <c r="AA104" s="2">
        <f>Z104-T104-X104</f>
        <v/>
      </c>
      <c r="AB104" s="3">
        <f>IF(Z104=0,0,AA104/Z104)</f>
        <v/>
      </c>
      <c r="AC104">
        <f>UPPER(LEFT(A104,3)&amp;"-"&amp;LEFT(B104,3)&amp;"-"&amp;TEXT(ROW()-1,"000"))</f>
        <v/>
      </c>
      <c r="AD104">
        <f>INDEX(Rules!$E$2:$E$6,MATCH(O104,Rules!$A$2:$A$6,0))</f>
        <v/>
      </c>
      <c r="AE104" s="2">
        <f>ROUND(AA104*AD104,2)</f>
        <v/>
      </c>
      <c r="AF104">
        <f>RANK(W104,$W$2:$W$181,0)</f>
        <v/>
      </c>
      <c r="AG104">
        <f>IF(AND(AB104&gt;0.18,Y104="LOW"),"PASS",IF(AB104&gt;0.08,"WATCH","FAIL"))</f>
        <v/>
      </c>
      <c r="AH104">
        <f>IFERROR(IF(VLOOKUP(A104,Rules!$G$2:$H$13,2,FALSE)="Priority","Priority Region","Standard Region"),"Standard Region")</f>
        <v/>
      </c>
      <c r="AI104">
        <f>ROUND(SUMPRODUCT(E104:J104,{0.08,0.08,0.15,0.1,0.25,0.34}),2)</f>
        <v/>
      </c>
      <c r="AJ104" s="2">
        <f>ROUND(AE104*INDEX(Rules!$J$2:$J$5,MATCH(MONTH(K104),Rules!$I$2:$I$5,1)),2)</f>
        <v/>
      </c>
    </row>
    <row r="105">
      <c r="A105" t="inlineStr">
        <is>
          <t>Khorezm</t>
        </is>
      </c>
      <c r="B105" t="inlineStr">
        <is>
          <t>Central-1</t>
        </is>
      </c>
      <c r="C105" t="inlineStr">
        <is>
          <t>Aziza Karimova</t>
        </is>
      </c>
      <c r="D105" t="n">
        <v>128</v>
      </c>
      <c r="E105" t="n">
        <v>138</v>
      </c>
      <c r="F105" s="2" t="n">
        <v>169</v>
      </c>
      <c r="G105" t="n">
        <v>23</v>
      </c>
      <c r="H105" t="n">
        <v>4</v>
      </c>
      <c r="I105" t="n">
        <v>93</v>
      </c>
      <c r="J105" s="3" t="n">
        <v>1.0781</v>
      </c>
      <c r="K105" s="4" t="inlineStr">
        <is>
          <t>2026-08-01</t>
        </is>
      </c>
      <c r="L105" s="2" t="n">
        <v>104</v>
      </c>
      <c r="M105" s="2" t="n">
        <v>40</v>
      </c>
      <c r="N105" s="3" t="n">
        <v>0.055</v>
      </c>
      <c r="O105" t="inlineStr">
        <is>
          <t>Tier-5</t>
        </is>
      </c>
      <c r="P105">
        <f>E105-D105</f>
        <v/>
      </c>
      <c r="Q105" s="3">
        <f>IF(D105=0,0,E105/D105-1)</f>
        <v/>
      </c>
      <c r="R105" s="2">
        <f>E105*F105</f>
        <v/>
      </c>
      <c r="S105" s="2">
        <f>H105*(F105*1.5/8)</f>
        <v/>
      </c>
      <c r="T105" s="2">
        <f>R105+S105+L105+M105</f>
        <v/>
      </c>
      <c r="U105">
        <f>IF(G105=0,0,E105/G105)</f>
        <v/>
      </c>
      <c r="V105">
        <f>IF(I105&gt;=95,"A",IF(I105&gt;=85,"B",IF(I105&gt;=75,"C","D")))</f>
        <v/>
      </c>
      <c r="W105">
        <f>ROUND((J105*35)+(I105*0.25)+(U105*0.2)+(IF(Q105&gt;0,100,MAX(0,100+Q105*100))*0.2),2)</f>
        <v/>
      </c>
      <c r="X105" s="2">
        <f>ROUND(T105*N105*IF(V105="A",1.25,IF(V105="B",1.1,IF(V105="C",0.9,0.5))),2)</f>
        <v/>
      </c>
      <c r="Y105">
        <f>IF(OR(I105&lt;80,J105&lt;0.75,E105&lt;D105*0.85),"HIGH",IF(OR(I105&lt;90,J105&lt;0.9),"MEDIUM","LOW"))</f>
        <v/>
      </c>
      <c r="Z105" s="2">
        <f>ROUND(E105*INDEX(Rules!$B$2:$B$6,MATCH(O105,Rules!$A$2:$A$6,0))*INDEX(Rules!$C$2:$C$5,MATCH(V105,Rules!$D$2:$D$5,0)),2)</f>
        <v/>
      </c>
      <c r="AA105" s="2">
        <f>Z105-T105-X105</f>
        <v/>
      </c>
      <c r="AB105" s="3">
        <f>IF(Z105=0,0,AA105/Z105)</f>
        <v/>
      </c>
      <c r="AC105">
        <f>UPPER(LEFT(A105,3)&amp;"-"&amp;LEFT(B105,3)&amp;"-"&amp;TEXT(ROW()-1,"000"))</f>
        <v/>
      </c>
      <c r="AD105">
        <f>INDEX(Rules!$E$2:$E$6,MATCH(O105,Rules!$A$2:$A$6,0))</f>
        <v/>
      </c>
      <c r="AE105" s="2">
        <f>ROUND(AA105*AD105,2)</f>
        <v/>
      </c>
      <c r="AF105">
        <f>RANK(W105,$W$2:$W$181,0)</f>
        <v/>
      </c>
      <c r="AG105">
        <f>IF(AND(AB105&gt;0.18,Y105="LOW"),"PASS",IF(AB105&gt;0.08,"WATCH","FAIL"))</f>
        <v/>
      </c>
      <c r="AH105">
        <f>IFERROR(IF(VLOOKUP(A105,Rules!$G$2:$H$13,2,FALSE)="Priority","Priority Region","Standard Region"),"Standard Region")</f>
        <v/>
      </c>
      <c r="AI105">
        <f>ROUND(SUMPRODUCT(E105:J105,{0.08,0.08,0.15,0.1,0.25,0.34}),2)</f>
        <v/>
      </c>
      <c r="AJ105" s="2">
        <f>ROUND(AE105*INDEX(Rules!$J$2:$J$5,MATCH(MONTH(K105),Rules!$I$2:$I$5,1)),2)</f>
        <v/>
      </c>
    </row>
    <row r="106">
      <c r="A106" t="inlineStr">
        <is>
          <t>Jizzakh</t>
        </is>
      </c>
      <c r="B106" t="inlineStr">
        <is>
          <t>North-2</t>
        </is>
      </c>
      <c r="C106" t="inlineStr">
        <is>
          <t>Bekzod Aliyev</t>
        </is>
      </c>
      <c r="D106" t="n">
        <v>135</v>
      </c>
      <c r="E106" t="n">
        <v>147</v>
      </c>
      <c r="F106" s="2" t="n">
        <v>178</v>
      </c>
      <c r="G106" t="n">
        <v>24</v>
      </c>
      <c r="H106" t="n">
        <v>7</v>
      </c>
      <c r="I106" t="n">
        <v>98</v>
      </c>
      <c r="J106" s="3" t="n">
        <v>1.0889</v>
      </c>
      <c r="K106" s="4" t="inlineStr">
        <is>
          <t>2026-09-01</t>
        </is>
      </c>
      <c r="L106" s="2" t="n">
        <v>112</v>
      </c>
      <c r="M106" s="2" t="n">
        <v>45</v>
      </c>
      <c r="N106" s="3" t="n">
        <v>0.0675</v>
      </c>
      <c r="O106" t="inlineStr">
        <is>
          <t>Tier-1</t>
        </is>
      </c>
      <c r="P106">
        <f>E106-D106</f>
        <v/>
      </c>
      <c r="Q106" s="3">
        <f>IF(D106=0,0,E106/D106-1)</f>
        <v/>
      </c>
      <c r="R106" s="2">
        <f>E106*F106</f>
        <v/>
      </c>
      <c r="S106" s="2">
        <f>H106*(F106*1.5/8)</f>
        <v/>
      </c>
      <c r="T106" s="2">
        <f>R106+S106+L106+M106</f>
        <v/>
      </c>
      <c r="U106">
        <f>IF(G106=0,0,E106/G106)</f>
        <v/>
      </c>
      <c r="V106">
        <f>IF(I106&gt;=95,"A",IF(I106&gt;=85,"B",IF(I106&gt;=75,"C","D")))</f>
        <v/>
      </c>
      <c r="W106">
        <f>ROUND((J106*35)+(I106*0.25)+(U106*0.2)+(IF(Q106&gt;0,100,MAX(0,100+Q106*100))*0.2),2)</f>
        <v/>
      </c>
      <c r="X106" s="2">
        <f>ROUND(T106*N106*IF(V106="A",1.25,IF(V106="B",1.1,IF(V106="C",0.9,0.5))),2)</f>
        <v/>
      </c>
      <c r="Y106">
        <f>IF(OR(I106&lt;80,J106&lt;0.75,E106&lt;D106*0.85),"HIGH",IF(OR(I106&lt;90,J106&lt;0.9),"MEDIUM","LOW"))</f>
        <v/>
      </c>
      <c r="Z106" s="2">
        <f>ROUND(E106*INDEX(Rules!$B$2:$B$6,MATCH(O106,Rules!$A$2:$A$6,0))*INDEX(Rules!$C$2:$C$5,MATCH(V106,Rules!$D$2:$D$5,0)),2)</f>
        <v/>
      </c>
      <c r="AA106" s="2">
        <f>Z106-T106-X106</f>
        <v/>
      </c>
      <c r="AB106" s="3">
        <f>IF(Z106=0,0,AA106/Z106)</f>
        <v/>
      </c>
      <c r="AC106">
        <f>UPPER(LEFT(A106,3)&amp;"-"&amp;LEFT(B106,3)&amp;"-"&amp;TEXT(ROW()-1,"000"))</f>
        <v/>
      </c>
      <c r="AD106">
        <f>INDEX(Rules!$E$2:$E$6,MATCH(O106,Rules!$A$2:$A$6,0))</f>
        <v/>
      </c>
      <c r="AE106" s="2">
        <f>ROUND(AA106*AD106,2)</f>
        <v/>
      </c>
      <c r="AF106">
        <f>RANK(W106,$W$2:$W$181,0)</f>
        <v/>
      </c>
      <c r="AG106">
        <f>IF(AND(AB106&gt;0.18,Y106="LOW"),"PASS",IF(AB106&gt;0.08,"WATCH","FAIL"))</f>
        <v/>
      </c>
      <c r="AH106">
        <f>IFERROR(IF(VLOOKUP(A106,Rules!$G$2:$H$13,2,FALSE)="Priority","Priority Region","Standard Region"),"Standard Region")</f>
        <v/>
      </c>
      <c r="AI106">
        <f>ROUND(SUMPRODUCT(E106:J106,{0.08,0.08,0.15,0.1,0.25,0.34}),2)</f>
        <v/>
      </c>
      <c r="AJ106" s="2">
        <f>ROUND(AE106*INDEX(Rules!$J$2:$J$5,MATCH(MONTH(K106),Rules!$I$2:$I$5,1)),2)</f>
        <v/>
      </c>
    </row>
    <row r="107">
      <c r="A107" t="inlineStr">
        <is>
          <t>Navoi</t>
        </is>
      </c>
      <c r="B107" t="inlineStr">
        <is>
          <t>South-3</t>
        </is>
      </c>
      <c r="C107" t="inlineStr">
        <is>
          <t>Dilshod Rustamov</t>
        </is>
      </c>
      <c r="D107" t="n">
        <v>142</v>
      </c>
      <c r="E107" t="n">
        <v>161</v>
      </c>
      <c r="F107" s="2" t="n">
        <v>187</v>
      </c>
      <c r="G107" t="n">
        <v>25</v>
      </c>
      <c r="H107" t="n">
        <v>10</v>
      </c>
      <c r="I107" t="n">
        <v>70</v>
      </c>
      <c r="J107" s="3" t="n">
        <v>1.1338</v>
      </c>
      <c r="K107" s="4" t="inlineStr">
        <is>
          <t>2026-10-01</t>
        </is>
      </c>
      <c r="L107" s="2" t="n">
        <v>120</v>
      </c>
      <c r="M107" s="2" t="n">
        <v>50</v>
      </c>
      <c r="N107" s="3" t="n">
        <v>0.08</v>
      </c>
      <c r="O107" t="inlineStr">
        <is>
          <t>Tier-2</t>
        </is>
      </c>
      <c r="P107">
        <f>E107-D107</f>
        <v/>
      </c>
      <c r="Q107" s="3">
        <f>IF(D107=0,0,E107/D107-1)</f>
        <v/>
      </c>
      <c r="R107" s="2">
        <f>E107*F107</f>
        <v/>
      </c>
      <c r="S107" s="2">
        <f>H107*(F107*1.5/8)</f>
        <v/>
      </c>
      <c r="T107" s="2">
        <f>R107+S107+L107+M107</f>
        <v/>
      </c>
      <c r="U107">
        <f>IF(G107=0,0,E107/G107)</f>
        <v/>
      </c>
      <c r="V107">
        <f>IF(I107&gt;=95,"A",IF(I107&gt;=85,"B",IF(I107&gt;=75,"C","D")))</f>
        <v/>
      </c>
      <c r="W107">
        <f>ROUND((J107*35)+(I107*0.25)+(U107*0.2)+(IF(Q107&gt;0,100,MAX(0,100+Q107*100))*0.2),2)</f>
        <v/>
      </c>
      <c r="X107" s="2">
        <f>ROUND(T107*N107*IF(V107="A",1.25,IF(V107="B",1.1,IF(V107="C",0.9,0.5))),2)</f>
        <v/>
      </c>
      <c r="Y107">
        <f>IF(OR(I107&lt;80,J107&lt;0.75,E107&lt;D107*0.85),"HIGH",IF(OR(I107&lt;90,J107&lt;0.9),"MEDIUM","LOW"))</f>
        <v/>
      </c>
      <c r="Z107" s="2">
        <f>ROUND(E107*INDEX(Rules!$B$2:$B$6,MATCH(O107,Rules!$A$2:$A$6,0))*INDEX(Rules!$C$2:$C$5,MATCH(V107,Rules!$D$2:$D$5,0)),2)</f>
        <v/>
      </c>
      <c r="AA107" s="2">
        <f>Z107-T107-X107</f>
        <v/>
      </c>
      <c r="AB107" s="3">
        <f>IF(Z107=0,0,AA107/Z107)</f>
        <v/>
      </c>
      <c r="AC107">
        <f>UPPER(LEFT(A107,3)&amp;"-"&amp;LEFT(B107,3)&amp;"-"&amp;TEXT(ROW()-1,"000"))</f>
        <v/>
      </c>
      <c r="AD107">
        <f>INDEX(Rules!$E$2:$E$6,MATCH(O107,Rules!$A$2:$A$6,0))</f>
        <v/>
      </c>
      <c r="AE107" s="2">
        <f>ROUND(AA107*AD107,2)</f>
        <v/>
      </c>
      <c r="AF107">
        <f>RANK(W107,$W$2:$W$181,0)</f>
        <v/>
      </c>
      <c r="AG107">
        <f>IF(AND(AB107&gt;0.18,Y107="LOW"),"PASS",IF(AB107&gt;0.08,"WATCH","FAIL"))</f>
        <v/>
      </c>
      <c r="AH107">
        <f>IFERROR(IF(VLOOKUP(A107,Rules!$G$2:$H$13,2,FALSE)="Priority","Priority Region","Standard Region"),"Standard Region")</f>
        <v/>
      </c>
      <c r="AI107">
        <f>ROUND(SUMPRODUCT(E107:J107,{0.08,0.08,0.15,0.1,0.25,0.34}),2)</f>
        <v/>
      </c>
      <c r="AJ107" s="2">
        <f>ROUND(AE107*INDEX(Rules!$J$2:$J$5,MATCH(MONTH(K107),Rules!$I$2:$I$5,1)),2)</f>
        <v/>
      </c>
    </row>
    <row r="108">
      <c r="A108" t="inlineStr">
        <is>
          <t>Syrdarya</t>
        </is>
      </c>
      <c r="B108" t="inlineStr">
        <is>
          <t>East-4</t>
        </is>
      </c>
      <c r="C108" t="inlineStr">
        <is>
          <t>Malika Ergasheva</t>
        </is>
      </c>
      <c r="D108" t="n">
        <v>149</v>
      </c>
      <c r="E108" t="n">
        <v>175</v>
      </c>
      <c r="F108" s="2" t="n">
        <v>196</v>
      </c>
      <c r="G108" t="n">
        <v>26</v>
      </c>
      <c r="H108" t="n">
        <v>13</v>
      </c>
      <c r="I108" t="n">
        <v>75</v>
      </c>
      <c r="J108" s="3" t="n">
        <v>1.1745</v>
      </c>
      <c r="K108" s="4" t="inlineStr">
        <is>
          <t>2026-11-01</t>
        </is>
      </c>
      <c r="L108" s="2" t="n">
        <v>128</v>
      </c>
      <c r="M108" s="2" t="n">
        <v>55</v>
      </c>
      <c r="N108" s="3" t="n">
        <v>0.0925</v>
      </c>
      <c r="O108" t="inlineStr">
        <is>
          <t>Tier-3</t>
        </is>
      </c>
      <c r="P108">
        <f>E108-D108</f>
        <v/>
      </c>
      <c r="Q108" s="3">
        <f>IF(D108=0,0,E108/D108-1)</f>
        <v/>
      </c>
      <c r="R108" s="2">
        <f>E108*F108</f>
        <v/>
      </c>
      <c r="S108" s="2">
        <f>H108*(F108*1.5/8)</f>
        <v/>
      </c>
      <c r="T108" s="2">
        <f>R108+S108+L108+M108</f>
        <v/>
      </c>
      <c r="U108">
        <f>IF(G108=0,0,E108/G108)</f>
        <v/>
      </c>
      <c r="V108">
        <f>IF(I108&gt;=95,"A",IF(I108&gt;=85,"B",IF(I108&gt;=75,"C","D")))</f>
        <v/>
      </c>
      <c r="W108">
        <f>ROUND((J108*35)+(I108*0.25)+(U108*0.2)+(IF(Q108&gt;0,100,MAX(0,100+Q108*100))*0.2),2)</f>
        <v/>
      </c>
      <c r="X108" s="2">
        <f>ROUND(T108*N108*IF(V108="A",1.25,IF(V108="B",1.1,IF(V108="C",0.9,0.5))),2)</f>
        <v/>
      </c>
      <c r="Y108">
        <f>IF(OR(I108&lt;80,J108&lt;0.75,E108&lt;D108*0.85),"HIGH",IF(OR(I108&lt;90,J108&lt;0.9),"MEDIUM","LOW"))</f>
        <v/>
      </c>
      <c r="Z108" s="2">
        <f>ROUND(E108*INDEX(Rules!$B$2:$B$6,MATCH(O108,Rules!$A$2:$A$6,0))*INDEX(Rules!$C$2:$C$5,MATCH(V108,Rules!$D$2:$D$5,0)),2)</f>
        <v/>
      </c>
      <c r="AA108" s="2">
        <f>Z108-T108-X108</f>
        <v/>
      </c>
      <c r="AB108" s="3">
        <f>IF(Z108=0,0,AA108/Z108)</f>
        <v/>
      </c>
      <c r="AC108">
        <f>UPPER(LEFT(A108,3)&amp;"-"&amp;LEFT(B108,3)&amp;"-"&amp;TEXT(ROW()-1,"000"))</f>
        <v/>
      </c>
      <c r="AD108">
        <f>INDEX(Rules!$E$2:$E$6,MATCH(O108,Rules!$A$2:$A$6,0))</f>
        <v/>
      </c>
      <c r="AE108" s="2">
        <f>ROUND(AA108*AD108,2)</f>
        <v/>
      </c>
      <c r="AF108">
        <f>RANK(W108,$W$2:$W$181,0)</f>
        <v/>
      </c>
      <c r="AG108">
        <f>IF(AND(AB108&gt;0.18,Y108="LOW"),"PASS",IF(AB108&gt;0.08,"WATCH","FAIL"))</f>
        <v/>
      </c>
      <c r="AH108">
        <f>IFERROR(IF(VLOOKUP(A108,Rules!$G$2:$H$13,2,FALSE)="Priority","Priority Region","Standard Region"),"Standard Region")</f>
        <v/>
      </c>
      <c r="AI108">
        <f>ROUND(SUMPRODUCT(E108:J108,{0.08,0.08,0.15,0.1,0.25,0.34}),2)</f>
        <v/>
      </c>
      <c r="AJ108" s="2">
        <f>ROUND(AE108*INDEX(Rules!$J$2:$J$5,MATCH(MONTH(K108),Rules!$I$2:$I$5,1)),2)</f>
        <v/>
      </c>
    </row>
    <row r="109">
      <c r="A109" t="inlineStr">
        <is>
          <t>Tashkent</t>
        </is>
      </c>
      <c r="B109" t="inlineStr">
        <is>
          <t>West-1</t>
        </is>
      </c>
      <c r="C109" t="inlineStr">
        <is>
          <t>Shahzod Islomov</t>
        </is>
      </c>
      <c r="D109" t="n">
        <v>156</v>
      </c>
      <c r="E109" t="n">
        <v>135</v>
      </c>
      <c r="F109" s="2" t="n">
        <v>205</v>
      </c>
      <c r="G109" t="n">
        <v>18</v>
      </c>
      <c r="H109" t="n">
        <v>16</v>
      </c>
      <c r="I109" t="n">
        <v>80</v>
      </c>
      <c r="J109" s="3" t="n">
        <v>0.8653999999999999</v>
      </c>
      <c r="K109" s="4" t="inlineStr">
        <is>
          <t>2026-12-01</t>
        </is>
      </c>
      <c r="L109" s="2" t="n">
        <v>40</v>
      </c>
      <c r="M109" s="2" t="n">
        <v>60</v>
      </c>
      <c r="N109" s="3" t="n">
        <v>0.03</v>
      </c>
      <c r="O109" t="inlineStr">
        <is>
          <t>Tier-4</t>
        </is>
      </c>
      <c r="P109">
        <f>E109-D109</f>
        <v/>
      </c>
      <c r="Q109" s="3">
        <f>IF(D109=0,0,E109/D109-1)</f>
        <v/>
      </c>
      <c r="R109" s="2">
        <f>E109*F109</f>
        <v/>
      </c>
      <c r="S109" s="2">
        <f>H109*(F109*1.5/8)</f>
        <v/>
      </c>
      <c r="T109" s="2">
        <f>R109+S109+L109+M109</f>
        <v/>
      </c>
      <c r="U109">
        <f>IF(G109=0,0,E109/G109)</f>
        <v/>
      </c>
      <c r="V109">
        <f>IF(I109&gt;=95,"A",IF(I109&gt;=85,"B",IF(I109&gt;=75,"C","D")))</f>
        <v/>
      </c>
      <c r="W109">
        <f>ROUND((J109*35)+(I109*0.25)+(U109*0.2)+(IF(Q109&gt;0,100,MAX(0,100+Q109*100))*0.2),2)</f>
        <v/>
      </c>
      <c r="X109" s="2">
        <f>ROUND(T109*N109*IF(V109="A",1.25,IF(V109="B",1.1,IF(V109="C",0.9,0.5))),2)</f>
        <v/>
      </c>
      <c r="Y109">
        <f>IF(OR(I109&lt;80,J109&lt;0.75,E109&lt;D109*0.85),"HIGH",IF(OR(I109&lt;90,J109&lt;0.9),"MEDIUM","LOW"))</f>
        <v/>
      </c>
      <c r="Z109" s="2">
        <f>ROUND(E109*INDEX(Rules!$B$2:$B$6,MATCH(O109,Rules!$A$2:$A$6,0))*INDEX(Rules!$C$2:$C$5,MATCH(V109,Rules!$D$2:$D$5,0)),2)</f>
        <v/>
      </c>
      <c r="AA109" s="2">
        <f>Z109-T109-X109</f>
        <v/>
      </c>
      <c r="AB109" s="3">
        <f>IF(Z109=0,0,AA109/Z109)</f>
        <v/>
      </c>
      <c r="AC109">
        <f>UPPER(LEFT(A109,3)&amp;"-"&amp;LEFT(B109,3)&amp;"-"&amp;TEXT(ROW()-1,"000"))</f>
        <v/>
      </c>
      <c r="AD109">
        <f>INDEX(Rules!$E$2:$E$6,MATCH(O109,Rules!$A$2:$A$6,0))</f>
        <v/>
      </c>
      <c r="AE109" s="2">
        <f>ROUND(AA109*AD109,2)</f>
        <v/>
      </c>
      <c r="AF109">
        <f>RANK(W109,$W$2:$W$181,0)</f>
        <v/>
      </c>
      <c r="AG109">
        <f>IF(AND(AB109&gt;0.18,Y109="LOW"),"PASS",IF(AB109&gt;0.08,"WATCH","FAIL"))</f>
        <v/>
      </c>
      <c r="AH109">
        <f>IFERROR(IF(VLOOKUP(A109,Rules!$G$2:$H$13,2,FALSE)="Priority","Priority Region","Standard Region"),"Standard Region")</f>
        <v/>
      </c>
      <c r="AI109">
        <f>ROUND(SUMPRODUCT(E109:J109,{0.08,0.08,0.15,0.1,0.25,0.34}),2)</f>
        <v/>
      </c>
      <c r="AJ109" s="2">
        <f>ROUND(AE109*INDEX(Rules!$J$2:$J$5,MATCH(MONTH(K109),Rules!$I$2:$I$5,1)),2)</f>
        <v/>
      </c>
    </row>
    <row r="110">
      <c r="A110" t="inlineStr">
        <is>
          <t>Samarkand</t>
        </is>
      </c>
      <c r="B110" t="inlineStr">
        <is>
          <t>Industrial-2</t>
        </is>
      </c>
      <c r="C110" t="inlineStr">
        <is>
          <t>Nilufar Tursunova</t>
        </is>
      </c>
      <c r="D110" t="n">
        <v>163</v>
      </c>
      <c r="E110" t="n">
        <v>149</v>
      </c>
      <c r="F110" s="2" t="n">
        <v>214</v>
      </c>
      <c r="G110" t="n">
        <v>19</v>
      </c>
      <c r="H110" t="n">
        <v>19</v>
      </c>
      <c r="I110" t="n">
        <v>85</v>
      </c>
      <c r="J110" s="3" t="n">
        <v>0.9141</v>
      </c>
      <c r="K110" s="4" t="inlineStr">
        <is>
          <t>2026-01-01</t>
        </is>
      </c>
      <c r="L110" s="2" t="n">
        <v>48</v>
      </c>
      <c r="M110" s="2" t="n">
        <v>65</v>
      </c>
      <c r="N110" s="3" t="n">
        <v>0.0425</v>
      </c>
      <c r="O110" t="inlineStr">
        <is>
          <t>Tier-5</t>
        </is>
      </c>
      <c r="P110">
        <f>E110-D110</f>
        <v/>
      </c>
      <c r="Q110" s="3">
        <f>IF(D110=0,0,E110/D110-1)</f>
        <v/>
      </c>
      <c r="R110" s="2">
        <f>E110*F110</f>
        <v/>
      </c>
      <c r="S110" s="2">
        <f>H110*(F110*1.5/8)</f>
        <v/>
      </c>
      <c r="T110" s="2">
        <f>R110+S110+L110+M110</f>
        <v/>
      </c>
      <c r="U110">
        <f>IF(G110=0,0,E110/G110)</f>
        <v/>
      </c>
      <c r="V110">
        <f>IF(I110&gt;=95,"A",IF(I110&gt;=85,"B",IF(I110&gt;=75,"C","D")))</f>
        <v/>
      </c>
      <c r="W110">
        <f>ROUND((J110*35)+(I110*0.25)+(U110*0.2)+(IF(Q110&gt;0,100,MAX(0,100+Q110*100))*0.2),2)</f>
        <v/>
      </c>
      <c r="X110" s="2">
        <f>ROUND(T110*N110*IF(V110="A",1.25,IF(V110="B",1.1,IF(V110="C",0.9,0.5))),2)</f>
        <v/>
      </c>
      <c r="Y110">
        <f>IF(OR(I110&lt;80,J110&lt;0.75,E110&lt;D110*0.85),"HIGH",IF(OR(I110&lt;90,J110&lt;0.9),"MEDIUM","LOW"))</f>
        <v/>
      </c>
      <c r="Z110" s="2">
        <f>ROUND(E110*INDEX(Rules!$B$2:$B$6,MATCH(O110,Rules!$A$2:$A$6,0))*INDEX(Rules!$C$2:$C$5,MATCH(V110,Rules!$D$2:$D$5,0)),2)</f>
        <v/>
      </c>
      <c r="AA110" s="2">
        <f>Z110-T110-X110</f>
        <v/>
      </c>
      <c r="AB110" s="3">
        <f>IF(Z110=0,0,AA110/Z110)</f>
        <v/>
      </c>
      <c r="AC110">
        <f>UPPER(LEFT(A110,3)&amp;"-"&amp;LEFT(B110,3)&amp;"-"&amp;TEXT(ROW()-1,"000"))</f>
        <v/>
      </c>
      <c r="AD110">
        <f>INDEX(Rules!$E$2:$E$6,MATCH(O110,Rules!$A$2:$A$6,0))</f>
        <v/>
      </c>
      <c r="AE110" s="2">
        <f>ROUND(AA110*AD110,2)</f>
        <v/>
      </c>
      <c r="AF110">
        <f>RANK(W110,$W$2:$W$181,0)</f>
        <v/>
      </c>
      <c r="AG110">
        <f>IF(AND(AB110&gt;0.18,Y110="LOW"),"PASS",IF(AB110&gt;0.08,"WATCH","FAIL"))</f>
        <v/>
      </c>
      <c r="AH110">
        <f>IFERROR(IF(VLOOKUP(A110,Rules!$G$2:$H$13,2,FALSE)="Priority","Priority Region","Standard Region"),"Standard Region")</f>
        <v/>
      </c>
      <c r="AI110">
        <f>ROUND(SUMPRODUCT(E110:J110,{0.08,0.08,0.15,0.1,0.25,0.34}),2)</f>
        <v/>
      </c>
      <c r="AJ110" s="2">
        <f>ROUND(AE110*INDEX(Rules!$J$2:$J$5,MATCH(MONTH(K110),Rules!$I$2:$I$5,1)),2)</f>
        <v/>
      </c>
    </row>
    <row r="111">
      <c r="A111" t="inlineStr">
        <is>
          <t>Bukhara</t>
        </is>
      </c>
      <c r="B111" t="inlineStr">
        <is>
          <t>Rural-3</t>
        </is>
      </c>
      <c r="C111" t="inlineStr">
        <is>
          <t>Sardor Jabborov</t>
        </is>
      </c>
      <c r="D111" t="n">
        <v>170</v>
      </c>
      <c r="E111" t="n">
        <v>158</v>
      </c>
      <c r="F111" s="2" t="n">
        <v>223</v>
      </c>
      <c r="G111" t="n">
        <v>20</v>
      </c>
      <c r="H111" t="n">
        <v>0</v>
      </c>
      <c r="I111" t="n">
        <v>90</v>
      </c>
      <c r="J111" s="3" t="n">
        <v>0.9294</v>
      </c>
      <c r="K111" s="4" t="inlineStr">
        <is>
          <t>2026-02-01</t>
        </is>
      </c>
      <c r="L111" s="2" t="n">
        <v>56</v>
      </c>
      <c r="M111" s="2" t="n">
        <v>20</v>
      </c>
      <c r="N111" s="3" t="n">
        <v>0.055</v>
      </c>
      <c r="O111" t="inlineStr">
        <is>
          <t>Tier-1</t>
        </is>
      </c>
      <c r="P111">
        <f>E111-D111</f>
        <v/>
      </c>
      <c r="Q111" s="3">
        <f>IF(D111=0,0,E111/D111-1)</f>
        <v/>
      </c>
      <c r="R111" s="2">
        <f>E111*F111</f>
        <v/>
      </c>
      <c r="S111" s="2">
        <f>H111*(F111*1.5/8)</f>
        <v/>
      </c>
      <c r="T111" s="2">
        <f>R111+S111+L111+M111</f>
        <v/>
      </c>
      <c r="U111">
        <f>IF(G111=0,0,E111/G111)</f>
        <v/>
      </c>
      <c r="V111">
        <f>IF(I111&gt;=95,"A",IF(I111&gt;=85,"B",IF(I111&gt;=75,"C","D")))</f>
        <v/>
      </c>
      <c r="W111">
        <f>ROUND((J111*35)+(I111*0.25)+(U111*0.2)+(IF(Q111&gt;0,100,MAX(0,100+Q111*100))*0.2),2)</f>
        <v/>
      </c>
      <c r="X111" s="2">
        <f>ROUND(T111*N111*IF(V111="A",1.25,IF(V111="B",1.1,IF(V111="C",0.9,0.5))),2)</f>
        <v/>
      </c>
      <c r="Y111">
        <f>IF(OR(I111&lt;80,J111&lt;0.75,E111&lt;D111*0.85),"HIGH",IF(OR(I111&lt;90,J111&lt;0.9),"MEDIUM","LOW"))</f>
        <v/>
      </c>
      <c r="Z111" s="2">
        <f>ROUND(E111*INDEX(Rules!$B$2:$B$6,MATCH(O111,Rules!$A$2:$A$6,0))*INDEX(Rules!$C$2:$C$5,MATCH(V111,Rules!$D$2:$D$5,0)),2)</f>
        <v/>
      </c>
      <c r="AA111" s="2">
        <f>Z111-T111-X111</f>
        <v/>
      </c>
      <c r="AB111" s="3">
        <f>IF(Z111=0,0,AA111/Z111)</f>
        <v/>
      </c>
      <c r="AC111">
        <f>UPPER(LEFT(A111,3)&amp;"-"&amp;LEFT(B111,3)&amp;"-"&amp;TEXT(ROW()-1,"000"))</f>
        <v/>
      </c>
      <c r="AD111">
        <f>INDEX(Rules!$E$2:$E$6,MATCH(O111,Rules!$A$2:$A$6,0))</f>
        <v/>
      </c>
      <c r="AE111" s="2">
        <f>ROUND(AA111*AD111,2)</f>
        <v/>
      </c>
      <c r="AF111">
        <f>RANK(W111,$W$2:$W$181,0)</f>
        <v/>
      </c>
      <c r="AG111">
        <f>IF(AND(AB111&gt;0.18,Y111="LOW"),"PASS",IF(AB111&gt;0.08,"WATCH","FAIL"))</f>
        <v/>
      </c>
      <c r="AH111">
        <f>IFERROR(IF(VLOOKUP(A111,Rules!$G$2:$H$13,2,FALSE)="Priority","Priority Region","Standard Region"),"Standard Region")</f>
        <v/>
      </c>
      <c r="AI111">
        <f>ROUND(SUMPRODUCT(E111:J111,{0.08,0.08,0.15,0.1,0.25,0.34}),2)</f>
        <v/>
      </c>
      <c r="AJ111" s="2">
        <f>ROUND(AE111*INDEX(Rules!$J$2:$J$5,MATCH(MONTH(K111),Rules!$I$2:$I$5,1)),2)</f>
        <v/>
      </c>
    </row>
    <row r="112">
      <c r="A112" t="inlineStr">
        <is>
          <t>Andijan</t>
        </is>
      </c>
      <c r="B112" t="inlineStr">
        <is>
          <t>Urban-4</t>
        </is>
      </c>
      <c r="C112" t="inlineStr">
        <is>
          <t>Kamola Rahimova</t>
        </is>
      </c>
      <c r="D112" t="n">
        <v>177</v>
      </c>
      <c r="E112" t="n">
        <v>172</v>
      </c>
      <c r="F112" s="2" t="n">
        <v>232</v>
      </c>
      <c r="G112" t="n">
        <v>21</v>
      </c>
      <c r="H112" t="n">
        <v>3</v>
      </c>
      <c r="I112" t="n">
        <v>95</v>
      </c>
      <c r="J112" s="3" t="n">
        <v>0.9718</v>
      </c>
      <c r="K112" s="4" t="inlineStr">
        <is>
          <t>2026-03-01</t>
        </is>
      </c>
      <c r="L112" s="2" t="n">
        <v>64</v>
      </c>
      <c r="M112" s="2" t="n">
        <v>25</v>
      </c>
      <c r="N112" s="3" t="n">
        <v>0.0675</v>
      </c>
      <c r="O112" t="inlineStr">
        <is>
          <t>Tier-2</t>
        </is>
      </c>
      <c r="P112">
        <f>E112-D112</f>
        <v/>
      </c>
      <c r="Q112" s="3">
        <f>IF(D112=0,0,E112/D112-1)</f>
        <v/>
      </c>
      <c r="R112" s="2">
        <f>E112*F112</f>
        <v/>
      </c>
      <c r="S112" s="2">
        <f>H112*(F112*1.5/8)</f>
        <v/>
      </c>
      <c r="T112" s="2">
        <f>R112+S112+L112+M112</f>
        <v/>
      </c>
      <c r="U112">
        <f>IF(G112=0,0,E112/G112)</f>
        <v/>
      </c>
      <c r="V112">
        <f>IF(I112&gt;=95,"A",IF(I112&gt;=85,"B",IF(I112&gt;=75,"C","D")))</f>
        <v/>
      </c>
      <c r="W112">
        <f>ROUND((J112*35)+(I112*0.25)+(U112*0.2)+(IF(Q112&gt;0,100,MAX(0,100+Q112*100))*0.2),2)</f>
        <v/>
      </c>
      <c r="X112" s="2">
        <f>ROUND(T112*N112*IF(V112="A",1.25,IF(V112="B",1.1,IF(V112="C",0.9,0.5))),2)</f>
        <v/>
      </c>
      <c r="Y112">
        <f>IF(OR(I112&lt;80,J112&lt;0.75,E112&lt;D112*0.85),"HIGH",IF(OR(I112&lt;90,J112&lt;0.9),"MEDIUM","LOW"))</f>
        <v/>
      </c>
      <c r="Z112" s="2">
        <f>ROUND(E112*INDEX(Rules!$B$2:$B$6,MATCH(O112,Rules!$A$2:$A$6,0))*INDEX(Rules!$C$2:$C$5,MATCH(V112,Rules!$D$2:$D$5,0)),2)</f>
        <v/>
      </c>
      <c r="AA112" s="2">
        <f>Z112-T112-X112</f>
        <v/>
      </c>
      <c r="AB112" s="3">
        <f>IF(Z112=0,0,AA112/Z112)</f>
        <v/>
      </c>
      <c r="AC112">
        <f>UPPER(LEFT(A112,3)&amp;"-"&amp;LEFT(B112,3)&amp;"-"&amp;TEXT(ROW()-1,"000"))</f>
        <v/>
      </c>
      <c r="AD112">
        <f>INDEX(Rules!$E$2:$E$6,MATCH(O112,Rules!$A$2:$A$6,0))</f>
        <v/>
      </c>
      <c r="AE112" s="2">
        <f>ROUND(AA112*AD112,2)</f>
        <v/>
      </c>
      <c r="AF112">
        <f>RANK(W112,$W$2:$W$181,0)</f>
        <v/>
      </c>
      <c r="AG112">
        <f>IF(AND(AB112&gt;0.18,Y112="LOW"),"PASS",IF(AB112&gt;0.08,"WATCH","FAIL"))</f>
        <v/>
      </c>
      <c r="AH112">
        <f>IFERROR(IF(VLOOKUP(A112,Rules!$G$2:$H$13,2,FALSE)="Priority","Priority Region","Standard Region"),"Standard Region")</f>
        <v/>
      </c>
      <c r="AI112">
        <f>ROUND(SUMPRODUCT(E112:J112,{0.08,0.08,0.15,0.1,0.25,0.34}),2)</f>
        <v/>
      </c>
      <c r="AJ112" s="2">
        <f>ROUND(AE112*INDEX(Rules!$J$2:$J$5,MATCH(MONTH(K112),Rules!$I$2:$I$5,1)),2)</f>
        <v/>
      </c>
    </row>
    <row r="113">
      <c r="A113" t="inlineStr">
        <is>
          <t>Namangan</t>
        </is>
      </c>
      <c r="B113" t="inlineStr">
        <is>
          <t>Central-1</t>
        </is>
      </c>
      <c r="C113" t="inlineStr">
        <is>
          <t>Aziza Karimova</t>
        </is>
      </c>
      <c r="D113" t="n">
        <v>184</v>
      </c>
      <c r="E113" t="n">
        <v>186</v>
      </c>
      <c r="F113" s="2" t="n">
        <v>115</v>
      </c>
      <c r="G113" t="n">
        <v>22</v>
      </c>
      <c r="H113" t="n">
        <v>6</v>
      </c>
      <c r="I113" t="n">
        <v>100</v>
      </c>
      <c r="J113" s="3" t="n">
        <v>1.0109</v>
      </c>
      <c r="K113" s="4" t="inlineStr">
        <is>
          <t>2026-04-01</t>
        </is>
      </c>
      <c r="L113" s="2" t="n">
        <v>72</v>
      </c>
      <c r="M113" s="2" t="n">
        <v>30</v>
      </c>
      <c r="N113" s="3" t="n">
        <v>0.08</v>
      </c>
      <c r="O113" t="inlineStr">
        <is>
          <t>Tier-3</t>
        </is>
      </c>
      <c r="P113">
        <f>E113-D113</f>
        <v/>
      </c>
      <c r="Q113" s="3">
        <f>IF(D113=0,0,E113/D113-1)</f>
        <v/>
      </c>
      <c r="R113" s="2">
        <f>E113*F113</f>
        <v/>
      </c>
      <c r="S113" s="2">
        <f>H113*(F113*1.5/8)</f>
        <v/>
      </c>
      <c r="T113" s="2">
        <f>R113+S113+L113+M113</f>
        <v/>
      </c>
      <c r="U113">
        <f>IF(G113=0,0,E113/G113)</f>
        <v/>
      </c>
      <c r="V113">
        <f>IF(I113&gt;=95,"A",IF(I113&gt;=85,"B",IF(I113&gt;=75,"C","D")))</f>
        <v/>
      </c>
      <c r="W113">
        <f>ROUND((J113*35)+(I113*0.25)+(U113*0.2)+(IF(Q113&gt;0,100,MAX(0,100+Q113*100))*0.2),2)</f>
        <v/>
      </c>
      <c r="X113" s="2">
        <f>ROUND(T113*N113*IF(V113="A",1.25,IF(V113="B",1.1,IF(V113="C",0.9,0.5))),2)</f>
        <v/>
      </c>
      <c r="Y113">
        <f>IF(OR(I113&lt;80,J113&lt;0.75,E113&lt;D113*0.85),"HIGH",IF(OR(I113&lt;90,J113&lt;0.9),"MEDIUM","LOW"))</f>
        <v/>
      </c>
      <c r="Z113" s="2">
        <f>ROUND(E113*INDEX(Rules!$B$2:$B$6,MATCH(O113,Rules!$A$2:$A$6,0))*INDEX(Rules!$C$2:$C$5,MATCH(V113,Rules!$D$2:$D$5,0)),2)</f>
        <v/>
      </c>
      <c r="AA113" s="2">
        <f>Z113-T113-X113</f>
        <v/>
      </c>
      <c r="AB113" s="3">
        <f>IF(Z113=0,0,AA113/Z113)</f>
        <v/>
      </c>
      <c r="AC113">
        <f>UPPER(LEFT(A113,3)&amp;"-"&amp;LEFT(B113,3)&amp;"-"&amp;TEXT(ROW()-1,"000"))</f>
        <v/>
      </c>
      <c r="AD113">
        <f>INDEX(Rules!$E$2:$E$6,MATCH(O113,Rules!$A$2:$A$6,0))</f>
        <v/>
      </c>
      <c r="AE113" s="2">
        <f>ROUND(AA113*AD113,2)</f>
        <v/>
      </c>
      <c r="AF113">
        <f>RANK(W113,$W$2:$W$181,0)</f>
        <v/>
      </c>
      <c r="AG113">
        <f>IF(AND(AB113&gt;0.18,Y113="LOW"),"PASS",IF(AB113&gt;0.08,"WATCH","FAIL"))</f>
        <v/>
      </c>
      <c r="AH113">
        <f>IFERROR(IF(VLOOKUP(A113,Rules!$G$2:$H$13,2,FALSE)="Priority","Priority Region","Standard Region"),"Standard Region")</f>
        <v/>
      </c>
      <c r="AI113">
        <f>ROUND(SUMPRODUCT(E113:J113,{0.08,0.08,0.15,0.1,0.25,0.34}),2)</f>
        <v/>
      </c>
      <c r="AJ113" s="2">
        <f>ROUND(AE113*INDEX(Rules!$J$2:$J$5,MATCH(MONTH(K113),Rules!$I$2:$I$5,1)),2)</f>
        <v/>
      </c>
    </row>
    <row r="114">
      <c r="A114" t="inlineStr">
        <is>
          <t>Fergana</t>
        </is>
      </c>
      <c r="B114" t="inlineStr">
        <is>
          <t>North-2</t>
        </is>
      </c>
      <c r="C114" t="inlineStr">
        <is>
          <t>Bekzod Aliyev</t>
        </is>
      </c>
      <c r="D114" t="n">
        <v>191</v>
      </c>
      <c r="E114" t="n">
        <v>200</v>
      </c>
      <c r="F114" s="2" t="n">
        <v>124</v>
      </c>
      <c r="G114" t="n">
        <v>23</v>
      </c>
      <c r="H114" t="n">
        <v>9</v>
      </c>
      <c r="I114" t="n">
        <v>72</v>
      </c>
      <c r="J114" s="3" t="n">
        <v>1.0471</v>
      </c>
      <c r="K114" s="4" t="inlineStr">
        <is>
          <t>2026-05-01</t>
        </is>
      </c>
      <c r="L114" s="2" t="n">
        <v>80</v>
      </c>
      <c r="M114" s="2" t="n">
        <v>35</v>
      </c>
      <c r="N114" s="3" t="n">
        <v>0.0925</v>
      </c>
      <c r="O114" t="inlineStr">
        <is>
          <t>Tier-4</t>
        </is>
      </c>
      <c r="P114">
        <f>E114-D114</f>
        <v/>
      </c>
      <c r="Q114" s="3">
        <f>IF(D114=0,0,E114/D114-1)</f>
        <v/>
      </c>
      <c r="R114" s="2">
        <f>E114*F114</f>
        <v/>
      </c>
      <c r="S114" s="2">
        <f>H114*(F114*1.5/8)</f>
        <v/>
      </c>
      <c r="T114" s="2">
        <f>R114+S114+L114+M114</f>
        <v/>
      </c>
      <c r="U114">
        <f>IF(G114=0,0,E114/G114)</f>
        <v/>
      </c>
      <c r="V114">
        <f>IF(I114&gt;=95,"A",IF(I114&gt;=85,"B",IF(I114&gt;=75,"C","D")))</f>
        <v/>
      </c>
      <c r="W114">
        <f>ROUND((J114*35)+(I114*0.25)+(U114*0.2)+(IF(Q114&gt;0,100,MAX(0,100+Q114*100))*0.2),2)</f>
        <v/>
      </c>
      <c r="X114" s="2">
        <f>ROUND(T114*N114*IF(V114="A",1.25,IF(V114="B",1.1,IF(V114="C",0.9,0.5))),2)</f>
        <v/>
      </c>
      <c r="Y114">
        <f>IF(OR(I114&lt;80,J114&lt;0.75,E114&lt;D114*0.85),"HIGH",IF(OR(I114&lt;90,J114&lt;0.9),"MEDIUM","LOW"))</f>
        <v/>
      </c>
      <c r="Z114" s="2">
        <f>ROUND(E114*INDEX(Rules!$B$2:$B$6,MATCH(O114,Rules!$A$2:$A$6,0))*INDEX(Rules!$C$2:$C$5,MATCH(V114,Rules!$D$2:$D$5,0)),2)</f>
        <v/>
      </c>
      <c r="AA114" s="2">
        <f>Z114-T114-X114</f>
        <v/>
      </c>
      <c r="AB114" s="3">
        <f>IF(Z114=0,0,AA114/Z114)</f>
        <v/>
      </c>
      <c r="AC114">
        <f>UPPER(LEFT(A114,3)&amp;"-"&amp;LEFT(B114,3)&amp;"-"&amp;TEXT(ROW()-1,"000"))</f>
        <v/>
      </c>
      <c r="AD114">
        <f>INDEX(Rules!$E$2:$E$6,MATCH(O114,Rules!$A$2:$A$6,0))</f>
        <v/>
      </c>
      <c r="AE114" s="2">
        <f>ROUND(AA114*AD114,2)</f>
        <v/>
      </c>
      <c r="AF114">
        <f>RANK(W114,$W$2:$W$181,0)</f>
        <v/>
      </c>
      <c r="AG114">
        <f>IF(AND(AB114&gt;0.18,Y114="LOW"),"PASS",IF(AB114&gt;0.08,"WATCH","FAIL"))</f>
        <v/>
      </c>
      <c r="AH114">
        <f>IFERROR(IF(VLOOKUP(A114,Rules!$G$2:$H$13,2,FALSE)="Priority","Priority Region","Standard Region"),"Standard Region")</f>
        <v/>
      </c>
      <c r="AI114">
        <f>ROUND(SUMPRODUCT(E114:J114,{0.08,0.08,0.15,0.1,0.25,0.34}),2)</f>
        <v/>
      </c>
      <c r="AJ114" s="2">
        <f>ROUND(AE114*INDEX(Rules!$J$2:$J$5,MATCH(MONTH(K114),Rules!$I$2:$I$5,1)),2)</f>
        <v/>
      </c>
    </row>
    <row r="115">
      <c r="A115" t="inlineStr">
        <is>
          <t>Kashkadarya</t>
        </is>
      </c>
      <c r="B115" t="inlineStr">
        <is>
          <t>South-3</t>
        </is>
      </c>
      <c r="C115" t="inlineStr">
        <is>
          <t>Dilshod Rustamov</t>
        </is>
      </c>
      <c r="D115" t="n">
        <v>198</v>
      </c>
      <c r="E115" t="n">
        <v>214</v>
      </c>
      <c r="F115" s="2" t="n">
        <v>133</v>
      </c>
      <c r="G115" t="n">
        <v>24</v>
      </c>
      <c r="H115" t="n">
        <v>12</v>
      </c>
      <c r="I115" t="n">
        <v>77</v>
      </c>
      <c r="J115" s="3" t="n">
        <v>1.0808</v>
      </c>
      <c r="K115" s="4" t="inlineStr">
        <is>
          <t>2026-06-01</t>
        </is>
      </c>
      <c r="L115" s="2" t="n">
        <v>88</v>
      </c>
      <c r="M115" s="2" t="n">
        <v>40</v>
      </c>
      <c r="N115" s="3" t="n">
        <v>0.03</v>
      </c>
      <c r="O115" t="inlineStr">
        <is>
          <t>Tier-5</t>
        </is>
      </c>
      <c r="P115">
        <f>E115-D115</f>
        <v/>
      </c>
      <c r="Q115" s="3">
        <f>IF(D115=0,0,E115/D115-1)</f>
        <v/>
      </c>
      <c r="R115" s="2">
        <f>E115*F115</f>
        <v/>
      </c>
      <c r="S115" s="2">
        <f>H115*(F115*1.5/8)</f>
        <v/>
      </c>
      <c r="T115" s="2">
        <f>R115+S115+L115+M115</f>
        <v/>
      </c>
      <c r="U115">
        <f>IF(G115=0,0,E115/G115)</f>
        <v/>
      </c>
      <c r="V115">
        <f>IF(I115&gt;=95,"A",IF(I115&gt;=85,"B",IF(I115&gt;=75,"C","D")))</f>
        <v/>
      </c>
      <c r="W115">
        <f>ROUND((J115*35)+(I115*0.25)+(U115*0.2)+(IF(Q115&gt;0,100,MAX(0,100+Q115*100))*0.2),2)</f>
        <v/>
      </c>
      <c r="X115" s="2">
        <f>ROUND(T115*N115*IF(V115="A",1.25,IF(V115="B",1.1,IF(V115="C",0.9,0.5))),2)</f>
        <v/>
      </c>
      <c r="Y115">
        <f>IF(OR(I115&lt;80,J115&lt;0.75,E115&lt;D115*0.85),"HIGH",IF(OR(I115&lt;90,J115&lt;0.9),"MEDIUM","LOW"))</f>
        <v/>
      </c>
      <c r="Z115" s="2">
        <f>ROUND(E115*INDEX(Rules!$B$2:$B$6,MATCH(O115,Rules!$A$2:$A$6,0))*INDEX(Rules!$C$2:$C$5,MATCH(V115,Rules!$D$2:$D$5,0)),2)</f>
        <v/>
      </c>
      <c r="AA115" s="2">
        <f>Z115-T115-X115</f>
        <v/>
      </c>
      <c r="AB115" s="3">
        <f>IF(Z115=0,0,AA115/Z115)</f>
        <v/>
      </c>
      <c r="AC115">
        <f>UPPER(LEFT(A115,3)&amp;"-"&amp;LEFT(B115,3)&amp;"-"&amp;TEXT(ROW()-1,"000"))</f>
        <v/>
      </c>
      <c r="AD115">
        <f>INDEX(Rules!$E$2:$E$6,MATCH(O115,Rules!$A$2:$A$6,0))</f>
        <v/>
      </c>
      <c r="AE115" s="2">
        <f>ROUND(AA115*AD115,2)</f>
        <v/>
      </c>
      <c r="AF115">
        <f>RANK(W115,$W$2:$W$181,0)</f>
        <v/>
      </c>
      <c r="AG115">
        <f>IF(AND(AB115&gt;0.18,Y115="LOW"),"PASS",IF(AB115&gt;0.08,"WATCH","FAIL"))</f>
        <v/>
      </c>
      <c r="AH115">
        <f>IFERROR(IF(VLOOKUP(A115,Rules!$G$2:$H$13,2,FALSE)="Priority","Priority Region","Standard Region"),"Standard Region")</f>
        <v/>
      </c>
      <c r="AI115">
        <f>ROUND(SUMPRODUCT(E115:J115,{0.08,0.08,0.15,0.1,0.25,0.34}),2)</f>
        <v/>
      </c>
      <c r="AJ115" s="2">
        <f>ROUND(AE115*INDEX(Rules!$J$2:$J$5,MATCH(MONTH(K115),Rules!$I$2:$I$5,1)),2)</f>
        <v/>
      </c>
    </row>
    <row r="116">
      <c r="A116" t="inlineStr">
        <is>
          <t>Surkhandarya</t>
        </is>
      </c>
      <c r="B116" t="inlineStr">
        <is>
          <t>East-4</t>
        </is>
      </c>
      <c r="C116" t="inlineStr">
        <is>
          <t>Malika Ergasheva</t>
        </is>
      </c>
      <c r="D116" t="n">
        <v>205</v>
      </c>
      <c r="E116" t="n">
        <v>223</v>
      </c>
      <c r="F116" s="2" t="n">
        <v>142</v>
      </c>
      <c r="G116" t="n">
        <v>25</v>
      </c>
      <c r="H116" t="n">
        <v>15</v>
      </c>
      <c r="I116" t="n">
        <v>82</v>
      </c>
      <c r="J116" s="3" t="n">
        <v>1.0878</v>
      </c>
      <c r="K116" s="4" t="inlineStr">
        <is>
          <t>2026-07-01</t>
        </is>
      </c>
      <c r="L116" s="2" t="n">
        <v>96</v>
      </c>
      <c r="M116" s="2" t="n">
        <v>45</v>
      </c>
      <c r="N116" s="3" t="n">
        <v>0.0425</v>
      </c>
      <c r="O116" t="inlineStr">
        <is>
          <t>Tier-1</t>
        </is>
      </c>
      <c r="P116">
        <f>E116-D116</f>
        <v/>
      </c>
      <c r="Q116" s="3">
        <f>IF(D116=0,0,E116/D116-1)</f>
        <v/>
      </c>
      <c r="R116" s="2">
        <f>E116*F116</f>
        <v/>
      </c>
      <c r="S116" s="2">
        <f>H116*(F116*1.5/8)</f>
        <v/>
      </c>
      <c r="T116" s="2">
        <f>R116+S116+L116+M116</f>
        <v/>
      </c>
      <c r="U116">
        <f>IF(G116=0,0,E116/G116)</f>
        <v/>
      </c>
      <c r="V116">
        <f>IF(I116&gt;=95,"A",IF(I116&gt;=85,"B",IF(I116&gt;=75,"C","D")))</f>
        <v/>
      </c>
      <c r="W116">
        <f>ROUND((J116*35)+(I116*0.25)+(U116*0.2)+(IF(Q116&gt;0,100,MAX(0,100+Q116*100))*0.2),2)</f>
        <v/>
      </c>
      <c r="X116" s="2">
        <f>ROUND(T116*N116*IF(V116="A",1.25,IF(V116="B",1.1,IF(V116="C",0.9,0.5))),2)</f>
        <v/>
      </c>
      <c r="Y116">
        <f>IF(OR(I116&lt;80,J116&lt;0.75,E116&lt;D116*0.85),"HIGH",IF(OR(I116&lt;90,J116&lt;0.9),"MEDIUM","LOW"))</f>
        <v/>
      </c>
      <c r="Z116" s="2">
        <f>ROUND(E116*INDEX(Rules!$B$2:$B$6,MATCH(O116,Rules!$A$2:$A$6,0))*INDEX(Rules!$C$2:$C$5,MATCH(V116,Rules!$D$2:$D$5,0)),2)</f>
        <v/>
      </c>
      <c r="AA116" s="2">
        <f>Z116-T116-X116</f>
        <v/>
      </c>
      <c r="AB116" s="3">
        <f>IF(Z116=0,0,AA116/Z116)</f>
        <v/>
      </c>
      <c r="AC116">
        <f>UPPER(LEFT(A116,3)&amp;"-"&amp;LEFT(B116,3)&amp;"-"&amp;TEXT(ROW()-1,"000"))</f>
        <v/>
      </c>
      <c r="AD116">
        <f>INDEX(Rules!$E$2:$E$6,MATCH(O116,Rules!$A$2:$A$6,0))</f>
        <v/>
      </c>
      <c r="AE116" s="2">
        <f>ROUND(AA116*AD116,2)</f>
        <v/>
      </c>
      <c r="AF116">
        <f>RANK(W116,$W$2:$W$181,0)</f>
        <v/>
      </c>
      <c r="AG116">
        <f>IF(AND(AB116&gt;0.18,Y116="LOW"),"PASS",IF(AB116&gt;0.08,"WATCH","FAIL"))</f>
        <v/>
      </c>
      <c r="AH116">
        <f>IFERROR(IF(VLOOKUP(A116,Rules!$G$2:$H$13,2,FALSE)="Priority","Priority Region","Standard Region"),"Standard Region")</f>
        <v/>
      </c>
      <c r="AI116">
        <f>ROUND(SUMPRODUCT(E116:J116,{0.08,0.08,0.15,0.1,0.25,0.34}),2)</f>
        <v/>
      </c>
      <c r="AJ116" s="2">
        <f>ROUND(AE116*INDEX(Rules!$J$2:$J$5,MATCH(MONTH(K116),Rules!$I$2:$I$5,1)),2)</f>
        <v/>
      </c>
    </row>
    <row r="117">
      <c r="A117" t="inlineStr">
        <is>
          <t>Khorezm</t>
        </is>
      </c>
      <c r="B117" t="inlineStr">
        <is>
          <t>West-1</t>
        </is>
      </c>
      <c r="C117" t="inlineStr">
        <is>
          <t>Shahzod Islomov</t>
        </is>
      </c>
      <c r="D117" t="n">
        <v>212</v>
      </c>
      <c r="E117" t="n">
        <v>237</v>
      </c>
      <c r="F117" s="2" t="n">
        <v>151</v>
      </c>
      <c r="G117" t="n">
        <v>26</v>
      </c>
      <c r="H117" t="n">
        <v>18</v>
      </c>
      <c r="I117" t="n">
        <v>87</v>
      </c>
      <c r="J117" s="3" t="n">
        <v>1.1179</v>
      </c>
      <c r="K117" s="4" t="inlineStr">
        <is>
          <t>2026-08-01</t>
        </is>
      </c>
      <c r="L117" s="2" t="n">
        <v>104</v>
      </c>
      <c r="M117" s="2" t="n">
        <v>50</v>
      </c>
      <c r="N117" s="3" t="n">
        <v>0.055</v>
      </c>
      <c r="O117" t="inlineStr">
        <is>
          <t>Tier-2</t>
        </is>
      </c>
      <c r="P117">
        <f>E117-D117</f>
        <v/>
      </c>
      <c r="Q117" s="3">
        <f>IF(D117=0,0,E117/D117-1)</f>
        <v/>
      </c>
      <c r="R117" s="2">
        <f>E117*F117</f>
        <v/>
      </c>
      <c r="S117" s="2">
        <f>H117*(F117*1.5/8)</f>
        <v/>
      </c>
      <c r="T117" s="2">
        <f>R117+S117+L117+M117</f>
        <v/>
      </c>
      <c r="U117">
        <f>IF(G117=0,0,E117/G117)</f>
        <v/>
      </c>
      <c r="V117">
        <f>IF(I117&gt;=95,"A",IF(I117&gt;=85,"B",IF(I117&gt;=75,"C","D")))</f>
        <v/>
      </c>
      <c r="W117">
        <f>ROUND((J117*35)+(I117*0.25)+(U117*0.2)+(IF(Q117&gt;0,100,MAX(0,100+Q117*100))*0.2),2)</f>
        <v/>
      </c>
      <c r="X117" s="2">
        <f>ROUND(T117*N117*IF(V117="A",1.25,IF(V117="B",1.1,IF(V117="C",0.9,0.5))),2)</f>
        <v/>
      </c>
      <c r="Y117">
        <f>IF(OR(I117&lt;80,J117&lt;0.75,E117&lt;D117*0.85),"HIGH",IF(OR(I117&lt;90,J117&lt;0.9),"MEDIUM","LOW"))</f>
        <v/>
      </c>
      <c r="Z117" s="2">
        <f>ROUND(E117*INDEX(Rules!$B$2:$B$6,MATCH(O117,Rules!$A$2:$A$6,0))*INDEX(Rules!$C$2:$C$5,MATCH(V117,Rules!$D$2:$D$5,0)),2)</f>
        <v/>
      </c>
      <c r="AA117" s="2">
        <f>Z117-T117-X117</f>
        <v/>
      </c>
      <c r="AB117" s="3">
        <f>IF(Z117=0,0,AA117/Z117)</f>
        <v/>
      </c>
      <c r="AC117">
        <f>UPPER(LEFT(A117,3)&amp;"-"&amp;LEFT(B117,3)&amp;"-"&amp;TEXT(ROW()-1,"000"))</f>
        <v/>
      </c>
      <c r="AD117">
        <f>INDEX(Rules!$E$2:$E$6,MATCH(O117,Rules!$A$2:$A$6,0))</f>
        <v/>
      </c>
      <c r="AE117" s="2">
        <f>ROUND(AA117*AD117,2)</f>
        <v/>
      </c>
      <c r="AF117">
        <f>RANK(W117,$W$2:$W$181,0)</f>
        <v/>
      </c>
      <c r="AG117">
        <f>IF(AND(AB117&gt;0.18,Y117="LOW"),"PASS",IF(AB117&gt;0.08,"WATCH","FAIL"))</f>
        <v/>
      </c>
      <c r="AH117">
        <f>IFERROR(IF(VLOOKUP(A117,Rules!$G$2:$H$13,2,FALSE)="Priority","Priority Region","Standard Region"),"Standard Region")</f>
        <v/>
      </c>
      <c r="AI117">
        <f>ROUND(SUMPRODUCT(E117:J117,{0.08,0.08,0.15,0.1,0.25,0.34}),2)</f>
        <v/>
      </c>
      <c r="AJ117" s="2">
        <f>ROUND(AE117*INDEX(Rules!$J$2:$J$5,MATCH(MONTH(K117),Rules!$I$2:$I$5,1)),2)</f>
        <v/>
      </c>
    </row>
    <row r="118">
      <c r="A118" t="inlineStr">
        <is>
          <t>Jizzakh</t>
        </is>
      </c>
      <c r="B118" t="inlineStr">
        <is>
          <t>Industrial-2</t>
        </is>
      </c>
      <c r="C118" t="inlineStr">
        <is>
          <t>Nilufar Tursunova</t>
        </is>
      </c>
      <c r="D118" t="n">
        <v>219</v>
      </c>
      <c r="E118" t="n">
        <v>197</v>
      </c>
      <c r="F118" s="2" t="n">
        <v>160</v>
      </c>
      <c r="G118" t="n">
        <v>18</v>
      </c>
      <c r="H118" t="n">
        <v>21</v>
      </c>
      <c r="I118" t="n">
        <v>92</v>
      </c>
      <c r="J118" s="3" t="n">
        <v>0.8995</v>
      </c>
      <c r="K118" s="4" t="inlineStr">
        <is>
          <t>2026-09-01</t>
        </is>
      </c>
      <c r="L118" s="2" t="n">
        <v>112</v>
      </c>
      <c r="M118" s="2" t="n">
        <v>55</v>
      </c>
      <c r="N118" s="3" t="n">
        <v>0.0675</v>
      </c>
      <c r="O118" t="inlineStr">
        <is>
          <t>Tier-3</t>
        </is>
      </c>
      <c r="P118">
        <f>E118-D118</f>
        <v/>
      </c>
      <c r="Q118" s="3">
        <f>IF(D118=0,0,E118/D118-1)</f>
        <v/>
      </c>
      <c r="R118" s="2">
        <f>E118*F118</f>
        <v/>
      </c>
      <c r="S118" s="2">
        <f>H118*(F118*1.5/8)</f>
        <v/>
      </c>
      <c r="T118" s="2">
        <f>R118+S118+L118+M118</f>
        <v/>
      </c>
      <c r="U118">
        <f>IF(G118=0,0,E118/G118)</f>
        <v/>
      </c>
      <c r="V118">
        <f>IF(I118&gt;=95,"A",IF(I118&gt;=85,"B",IF(I118&gt;=75,"C","D")))</f>
        <v/>
      </c>
      <c r="W118">
        <f>ROUND((J118*35)+(I118*0.25)+(U118*0.2)+(IF(Q118&gt;0,100,MAX(0,100+Q118*100))*0.2),2)</f>
        <v/>
      </c>
      <c r="X118" s="2">
        <f>ROUND(T118*N118*IF(V118="A",1.25,IF(V118="B",1.1,IF(V118="C",0.9,0.5))),2)</f>
        <v/>
      </c>
      <c r="Y118">
        <f>IF(OR(I118&lt;80,J118&lt;0.75,E118&lt;D118*0.85),"HIGH",IF(OR(I118&lt;90,J118&lt;0.9),"MEDIUM","LOW"))</f>
        <v/>
      </c>
      <c r="Z118" s="2">
        <f>ROUND(E118*INDEX(Rules!$B$2:$B$6,MATCH(O118,Rules!$A$2:$A$6,0))*INDEX(Rules!$C$2:$C$5,MATCH(V118,Rules!$D$2:$D$5,0)),2)</f>
        <v/>
      </c>
      <c r="AA118" s="2">
        <f>Z118-T118-X118</f>
        <v/>
      </c>
      <c r="AB118" s="3">
        <f>IF(Z118=0,0,AA118/Z118)</f>
        <v/>
      </c>
      <c r="AC118">
        <f>UPPER(LEFT(A118,3)&amp;"-"&amp;LEFT(B118,3)&amp;"-"&amp;TEXT(ROW()-1,"000"))</f>
        <v/>
      </c>
      <c r="AD118">
        <f>INDEX(Rules!$E$2:$E$6,MATCH(O118,Rules!$A$2:$A$6,0))</f>
        <v/>
      </c>
      <c r="AE118" s="2">
        <f>ROUND(AA118*AD118,2)</f>
        <v/>
      </c>
      <c r="AF118">
        <f>RANK(W118,$W$2:$W$181,0)</f>
        <v/>
      </c>
      <c r="AG118">
        <f>IF(AND(AB118&gt;0.18,Y118="LOW"),"PASS",IF(AB118&gt;0.08,"WATCH","FAIL"))</f>
        <v/>
      </c>
      <c r="AH118">
        <f>IFERROR(IF(VLOOKUP(A118,Rules!$G$2:$H$13,2,FALSE)="Priority","Priority Region","Standard Region"),"Standard Region")</f>
        <v/>
      </c>
      <c r="AI118">
        <f>ROUND(SUMPRODUCT(E118:J118,{0.08,0.08,0.15,0.1,0.25,0.34}),2)</f>
        <v/>
      </c>
      <c r="AJ118" s="2">
        <f>ROUND(AE118*INDEX(Rules!$J$2:$J$5,MATCH(MONTH(K118),Rules!$I$2:$I$5,1)),2)</f>
        <v/>
      </c>
    </row>
    <row r="119">
      <c r="A119" t="inlineStr">
        <is>
          <t>Navoi</t>
        </is>
      </c>
      <c r="B119" t="inlineStr">
        <is>
          <t>Rural-3</t>
        </is>
      </c>
      <c r="C119" t="inlineStr">
        <is>
          <t>Sardor Jabborov</t>
        </is>
      </c>
      <c r="D119" t="n">
        <v>226</v>
      </c>
      <c r="E119" t="n">
        <v>211</v>
      </c>
      <c r="F119" s="2" t="n">
        <v>169</v>
      </c>
      <c r="G119" t="n">
        <v>19</v>
      </c>
      <c r="H119" t="n">
        <v>2</v>
      </c>
      <c r="I119" t="n">
        <v>97</v>
      </c>
      <c r="J119" s="3" t="n">
        <v>0.9336</v>
      </c>
      <c r="K119" s="4" t="inlineStr">
        <is>
          <t>2026-10-01</t>
        </is>
      </c>
      <c r="L119" s="2" t="n">
        <v>120</v>
      </c>
      <c r="M119" s="2" t="n">
        <v>60</v>
      </c>
      <c r="N119" s="3" t="n">
        <v>0.08</v>
      </c>
      <c r="O119" t="inlineStr">
        <is>
          <t>Tier-4</t>
        </is>
      </c>
      <c r="P119">
        <f>E119-D119</f>
        <v/>
      </c>
      <c r="Q119" s="3">
        <f>IF(D119=0,0,E119/D119-1)</f>
        <v/>
      </c>
      <c r="R119" s="2">
        <f>E119*F119</f>
        <v/>
      </c>
      <c r="S119" s="2">
        <f>H119*(F119*1.5/8)</f>
        <v/>
      </c>
      <c r="T119" s="2">
        <f>R119+S119+L119+M119</f>
        <v/>
      </c>
      <c r="U119">
        <f>IF(G119=0,0,E119/G119)</f>
        <v/>
      </c>
      <c r="V119">
        <f>IF(I119&gt;=95,"A",IF(I119&gt;=85,"B",IF(I119&gt;=75,"C","D")))</f>
        <v/>
      </c>
      <c r="W119">
        <f>ROUND((J119*35)+(I119*0.25)+(U119*0.2)+(IF(Q119&gt;0,100,MAX(0,100+Q119*100))*0.2),2)</f>
        <v/>
      </c>
      <c r="X119" s="2">
        <f>ROUND(T119*N119*IF(V119="A",1.25,IF(V119="B",1.1,IF(V119="C",0.9,0.5))),2)</f>
        <v/>
      </c>
      <c r="Y119">
        <f>IF(OR(I119&lt;80,J119&lt;0.75,E119&lt;D119*0.85),"HIGH",IF(OR(I119&lt;90,J119&lt;0.9),"MEDIUM","LOW"))</f>
        <v/>
      </c>
      <c r="Z119" s="2">
        <f>ROUND(E119*INDEX(Rules!$B$2:$B$6,MATCH(O119,Rules!$A$2:$A$6,0))*INDEX(Rules!$C$2:$C$5,MATCH(V119,Rules!$D$2:$D$5,0)),2)</f>
        <v/>
      </c>
      <c r="AA119" s="2">
        <f>Z119-T119-X119</f>
        <v/>
      </c>
      <c r="AB119" s="3">
        <f>IF(Z119=0,0,AA119/Z119)</f>
        <v/>
      </c>
      <c r="AC119">
        <f>UPPER(LEFT(A119,3)&amp;"-"&amp;LEFT(B119,3)&amp;"-"&amp;TEXT(ROW()-1,"000"))</f>
        <v/>
      </c>
      <c r="AD119">
        <f>INDEX(Rules!$E$2:$E$6,MATCH(O119,Rules!$A$2:$A$6,0))</f>
        <v/>
      </c>
      <c r="AE119" s="2">
        <f>ROUND(AA119*AD119,2)</f>
        <v/>
      </c>
      <c r="AF119">
        <f>RANK(W119,$W$2:$W$181,0)</f>
        <v/>
      </c>
      <c r="AG119">
        <f>IF(AND(AB119&gt;0.18,Y119="LOW"),"PASS",IF(AB119&gt;0.08,"WATCH","FAIL"))</f>
        <v/>
      </c>
      <c r="AH119">
        <f>IFERROR(IF(VLOOKUP(A119,Rules!$G$2:$H$13,2,FALSE)="Priority","Priority Region","Standard Region"),"Standard Region")</f>
        <v/>
      </c>
      <c r="AI119">
        <f>ROUND(SUMPRODUCT(E119:J119,{0.08,0.08,0.15,0.1,0.25,0.34}),2)</f>
        <v/>
      </c>
      <c r="AJ119" s="2">
        <f>ROUND(AE119*INDEX(Rules!$J$2:$J$5,MATCH(MONTH(K119),Rules!$I$2:$I$5,1)),2)</f>
        <v/>
      </c>
    </row>
    <row r="120">
      <c r="A120" t="inlineStr">
        <is>
          <t>Syrdarya</t>
        </is>
      </c>
      <c r="B120" t="inlineStr">
        <is>
          <t>Urban-4</t>
        </is>
      </c>
      <c r="C120" t="inlineStr">
        <is>
          <t>Kamola Rahimova</t>
        </is>
      </c>
      <c r="D120" t="n">
        <v>233</v>
      </c>
      <c r="E120" t="n">
        <v>225</v>
      </c>
      <c r="F120" s="2" t="n">
        <v>178</v>
      </c>
      <c r="G120" t="n">
        <v>20</v>
      </c>
      <c r="H120" t="n">
        <v>5</v>
      </c>
      <c r="I120" t="n">
        <v>69</v>
      </c>
      <c r="J120" s="3" t="n">
        <v>0.9657</v>
      </c>
      <c r="K120" s="4" t="inlineStr">
        <is>
          <t>2026-11-01</t>
        </is>
      </c>
      <c r="L120" s="2" t="n">
        <v>128</v>
      </c>
      <c r="M120" s="2" t="n">
        <v>65</v>
      </c>
      <c r="N120" s="3" t="n">
        <v>0.0925</v>
      </c>
      <c r="O120" t="inlineStr">
        <is>
          <t>Tier-5</t>
        </is>
      </c>
      <c r="P120">
        <f>E120-D120</f>
        <v/>
      </c>
      <c r="Q120" s="3">
        <f>IF(D120=0,0,E120/D120-1)</f>
        <v/>
      </c>
      <c r="R120" s="2">
        <f>E120*F120</f>
        <v/>
      </c>
      <c r="S120" s="2">
        <f>H120*(F120*1.5/8)</f>
        <v/>
      </c>
      <c r="T120" s="2">
        <f>R120+S120+L120+M120</f>
        <v/>
      </c>
      <c r="U120">
        <f>IF(G120=0,0,E120/G120)</f>
        <v/>
      </c>
      <c r="V120">
        <f>IF(I120&gt;=95,"A",IF(I120&gt;=85,"B",IF(I120&gt;=75,"C","D")))</f>
        <v/>
      </c>
      <c r="W120">
        <f>ROUND((J120*35)+(I120*0.25)+(U120*0.2)+(IF(Q120&gt;0,100,MAX(0,100+Q120*100))*0.2),2)</f>
        <v/>
      </c>
      <c r="X120" s="2">
        <f>ROUND(T120*N120*IF(V120="A",1.25,IF(V120="B",1.1,IF(V120="C",0.9,0.5))),2)</f>
        <v/>
      </c>
      <c r="Y120">
        <f>IF(OR(I120&lt;80,J120&lt;0.75,E120&lt;D120*0.85),"HIGH",IF(OR(I120&lt;90,J120&lt;0.9),"MEDIUM","LOW"))</f>
        <v/>
      </c>
      <c r="Z120" s="2">
        <f>ROUND(E120*INDEX(Rules!$B$2:$B$6,MATCH(O120,Rules!$A$2:$A$6,0))*INDEX(Rules!$C$2:$C$5,MATCH(V120,Rules!$D$2:$D$5,0)),2)</f>
        <v/>
      </c>
      <c r="AA120" s="2">
        <f>Z120-T120-X120</f>
        <v/>
      </c>
      <c r="AB120" s="3">
        <f>IF(Z120=0,0,AA120/Z120)</f>
        <v/>
      </c>
      <c r="AC120">
        <f>UPPER(LEFT(A120,3)&amp;"-"&amp;LEFT(B120,3)&amp;"-"&amp;TEXT(ROW()-1,"000"))</f>
        <v/>
      </c>
      <c r="AD120">
        <f>INDEX(Rules!$E$2:$E$6,MATCH(O120,Rules!$A$2:$A$6,0))</f>
        <v/>
      </c>
      <c r="AE120" s="2">
        <f>ROUND(AA120*AD120,2)</f>
        <v/>
      </c>
      <c r="AF120">
        <f>RANK(W120,$W$2:$W$181,0)</f>
        <v/>
      </c>
      <c r="AG120">
        <f>IF(AND(AB120&gt;0.18,Y120="LOW"),"PASS",IF(AB120&gt;0.08,"WATCH","FAIL"))</f>
        <v/>
      </c>
      <c r="AH120">
        <f>IFERROR(IF(VLOOKUP(A120,Rules!$G$2:$H$13,2,FALSE)="Priority","Priority Region","Standard Region"),"Standard Region")</f>
        <v/>
      </c>
      <c r="AI120">
        <f>ROUND(SUMPRODUCT(E120:J120,{0.08,0.08,0.15,0.1,0.25,0.34}),2)</f>
        <v/>
      </c>
      <c r="AJ120" s="2">
        <f>ROUND(AE120*INDEX(Rules!$J$2:$J$5,MATCH(MONTH(K120),Rules!$I$2:$I$5,1)),2)</f>
        <v/>
      </c>
    </row>
    <row r="121">
      <c r="A121" t="inlineStr">
        <is>
          <t>Tashkent</t>
        </is>
      </c>
      <c r="B121" t="inlineStr">
        <is>
          <t>Central-1</t>
        </is>
      </c>
      <c r="C121" t="inlineStr">
        <is>
          <t>Aziza Karimova</t>
        </is>
      </c>
      <c r="D121" t="n">
        <v>240</v>
      </c>
      <c r="E121" t="n">
        <v>234</v>
      </c>
      <c r="F121" s="2" t="n">
        <v>187</v>
      </c>
      <c r="G121" t="n">
        <v>21</v>
      </c>
      <c r="H121" t="n">
        <v>8</v>
      </c>
      <c r="I121" t="n">
        <v>74</v>
      </c>
      <c r="J121" s="3" t="n">
        <v>0.975</v>
      </c>
      <c r="K121" s="4" t="inlineStr">
        <is>
          <t>2026-12-01</t>
        </is>
      </c>
      <c r="L121" s="2" t="n">
        <v>40</v>
      </c>
      <c r="M121" s="2" t="n">
        <v>20</v>
      </c>
      <c r="N121" s="3" t="n">
        <v>0.03</v>
      </c>
      <c r="O121" t="inlineStr">
        <is>
          <t>Tier-1</t>
        </is>
      </c>
      <c r="P121">
        <f>E121-D121</f>
        <v/>
      </c>
      <c r="Q121" s="3">
        <f>IF(D121=0,0,E121/D121-1)</f>
        <v/>
      </c>
      <c r="R121" s="2">
        <f>E121*F121</f>
        <v/>
      </c>
      <c r="S121" s="2">
        <f>H121*(F121*1.5/8)</f>
        <v/>
      </c>
      <c r="T121" s="2">
        <f>R121+S121+L121+M121</f>
        <v/>
      </c>
      <c r="U121">
        <f>IF(G121=0,0,E121/G121)</f>
        <v/>
      </c>
      <c r="V121">
        <f>IF(I121&gt;=95,"A",IF(I121&gt;=85,"B",IF(I121&gt;=75,"C","D")))</f>
        <v/>
      </c>
      <c r="W121">
        <f>ROUND((J121*35)+(I121*0.25)+(U121*0.2)+(IF(Q121&gt;0,100,MAX(0,100+Q121*100))*0.2),2)</f>
        <v/>
      </c>
      <c r="X121" s="2">
        <f>ROUND(T121*N121*IF(V121="A",1.25,IF(V121="B",1.1,IF(V121="C",0.9,0.5))),2)</f>
        <v/>
      </c>
      <c r="Y121">
        <f>IF(OR(I121&lt;80,J121&lt;0.75,E121&lt;D121*0.85),"HIGH",IF(OR(I121&lt;90,J121&lt;0.9),"MEDIUM","LOW"))</f>
        <v/>
      </c>
      <c r="Z121" s="2">
        <f>ROUND(E121*INDEX(Rules!$B$2:$B$6,MATCH(O121,Rules!$A$2:$A$6,0))*INDEX(Rules!$C$2:$C$5,MATCH(V121,Rules!$D$2:$D$5,0)),2)</f>
        <v/>
      </c>
      <c r="AA121" s="2">
        <f>Z121-T121-X121</f>
        <v/>
      </c>
      <c r="AB121" s="3">
        <f>IF(Z121=0,0,AA121/Z121)</f>
        <v/>
      </c>
      <c r="AC121">
        <f>UPPER(LEFT(A121,3)&amp;"-"&amp;LEFT(B121,3)&amp;"-"&amp;TEXT(ROW()-1,"000"))</f>
        <v/>
      </c>
      <c r="AD121">
        <f>INDEX(Rules!$E$2:$E$6,MATCH(O121,Rules!$A$2:$A$6,0))</f>
        <v/>
      </c>
      <c r="AE121" s="2">
        <f>ROUND(AA121*AD121,2)</f>
        <v/>
      </c>
      <c r="AF121">
        <f>RANK(W121,$W$2:$W$181,0)</f>
        <v/>
      </c>
      <c r="AG121">
        <f>IF(AND(AB121&gt;0.18,Y121="LOW"),"PASS",IF(AB121&gt;0.08,"WATCH","FAIL"))</f>
        <v/>
      </c>
      <c r="AH121">
        <f>IFERROR(IF(VLOOKUP(A121,Rules!$G$2:$H$13,2,FALSE)="Priority","Priority Region","Standard Region"),"Standard Region")</f>
        <v/>
      </c>
      <c r="AI121">
        <f>ROUND(SUMPRODUCT(E121:J121,{0.08,0.08,0.15,0.1,0.25,0.34}),2)</f>
        <v/>
      </c>
      <c r="AJ121" s="2">
        <f>ROUND(AE121*INDEX(Rules!$J$2:$J$5,MATCH(MONTH(K121),Rules!$I$2:$I$5,1)),2)</f>
        <v/>
      </c>
    </row>
    <row r="122">
      <c r="A122" t="inlineStr">
        <is>
          <t>Samarkand</t>
        </is>
      </c>
      <c r="B122" t="inlineStr">
        <is>
          <t>North-2</t>
        </is>
      </c>
      <c r="C122" t="inlineStr">
        <is>
          <t>Bekzod Aliyev</t>
        </is>
      </c>
      <c r="D122" t="n">
        <v>247</v>
      </c>
      <c r="E122" t="n">
        <v>248</v>
      </c>
      <c r="F122" s="2" t="n">
        <v>196</v>
      </c>
      <c r="G122" t="n">
        <v>22</v>
      </c>
      <c r="H122" t="n">
        <v>11</v>
      </c>
      <c r="I122" t="n">
        <v>79</v>
      </c>
      <c r="J122" s="3" t="n">
        <v>1.004</v>
      </c>
      <c r="K122" s="4" t="inlineStr">
        <is>
          <t>2026-01-01</t>
        </is>
      </c>
      <c r="L122" s="2" t="n">
        <v>48</v>
      </c>
      <c r="M122" s="2" t="n">
        <v>25</v>
      </c>
      <c r="N122" s="3" t="n">
        <v>0.0425</v>
      </c>
      <c r="O122" t="inlineStr">
        <is>
          <t>Tier-2</t>
        </is>
      </c>
      <c r="P122">
        <f>E122-D122</f>
        <v/>
      </c>
      <c r="Q122" s="3">
        <f>IF(D122=0,0,E122/D122-1)</f>
        <v/>
      </c>
      <c r="R122" s="2">
        <f>E122*F122</f>
        <v/>
      </c>
      <c r="S122" s="2">
        <f>H122*(F122*1.5/8)</f>
        <v/>
      </c>
      <c r="T122" s="2">
        <f>R122+S122+L122+M122</f>
        <v/>
      </c>
      <c r="U122">
        <f>IF(G122=0,0,E122/G122)</f>
        <v/>
      </c>
      <c r="V122">
        <f>IF(I122&gt;=95,"A",IF(I122&gt;=85,"B",IF(I122&gt;=75,"C","D")))</f>
        <v/>
      </c>
      <c r="W122">
        <f>ROUND((J122*35)+(I122*0.25)+(U122*0.2)+(IF(Q122&gt;0,100,MAX(0,100+Q122*100))*0.2),2)</f>
        <v/>
      </c>
      <c r="X122" s="2">
        <f>ROUND(T122*N122*IF(V122="A",1.25,IF(V122="B",1.1,IF(V122="C",0.9,0.5))),2)</f>
        <v/>
      </c>
      <c r="Y122">
        <f>IF(OR(I122&lt;80,J122&lt;0.75,E122&lt;D122*0.85),"HIGH",IF(OR(I122&lt;90,J122&lt;0.9),"MEDIUM","LOW"))</f>
        <v/>
      </c>
      <c r="Z122" s="2">
        <f>ROUND(E122*INDEX(Rules!$B$2:$B$6,MATCH(O122,Rules!$A$2:$A$6,0))*INDEX(Rules!$C$2:$C$5,MATCH(V122,Rules!$D$2:$D$5,0)),2)</f>
        <v/>
      </c>
      <c r="AA122" s="2">
        <f>Z122-T122-X122</f>
        <v/>
      </c>
      <c r="AB122" s="3">
        <f>IF(Z122=0,0,AA122/Z122)</f>
        <v/>
      </c>
      <c r="AC122">
        <f>UPPER(LEFT(A122,3)&amp;"-"&amp;LEFT(B122,3)&amp;"-"&amp;TEXT(ROW()-1,"000"))</f>
        <v/>
      </c>
      <c r="AD122">
        <f>INDEX(Rules!$E$2:$E$6,MATCH(O122,Rules!$A$2:$A$6,0))</f>
        <v/>
      </c>
      <c r="AE122" s="2">
        <f>ROUND(AA122*AD122,2)</f>
        <v/>
      </c>
      <c r="AF122">
        <f>RANK(W122,$W$2:$W$181,0)</f>
        <v/>
      </c>
      <c r="AG122">
        <f>IF(AND(AB122&gt;0.18,Y122="LOW"),"PASS",IF(AB122&gt;0.08,"WATCH","FAIL"))</f>
        <v/>
      </c>
      <c r="AH122">
        <f>IFERROR(IF(VLOOKUP(A122,Rules!$G$2:$H$13,2,FALSE)="Priority","Priority Region","Standard Region"),"Standard Region")</f>
        <v/>
      </c>
      <c r="AI122">
        <f>ROUND(SUMPRODUCT(E122:J122,{0.08,0.08,0.15,0.1,0.25,0.34}),2)</f>
        <v/>
      </c>
      <c r="AJ122" s="2">
        <f>ROUND(AE122*INDEX(Rules!$J$2:$J$5,MATCH(MONTH(K122),Rules!$I$2:$I$5,1)),2)</f>
        <v/>
      </c>
    </row>
    <row r="123">
      <c r="A123" t="inlineStr">
        <is>
          <t>Bukhara</t>
        </is>
      </c>
      <c r="B123" t="inlineStr">
        <is>
          <t>South-3</t>
        </is>
      </c>
      <c r="C123" t="inlineStr">
        <is>
          <t>Dilshod Rustamov</t>
        </is>
      </c>
      <c r="D123" t="n">
        <v>84</v>
      </c>
      <c r="E123" t="n">
        <v>92</v>
      </c>
      <c r="F123" s="2" t="n">
        <v>205</v>
      </c>
      <c r="G123" t="n">
        <v>23</v>
      </c>
      <c r="H123" t="n">
        <v>14</v>
      </c>
      <c r="I123" t="n">
        <v>84</v>
      </c>
      <c r="J123" s="3" t="n">
        <v>1.0952</v>
      </c>
      <c r="K123" s="4" t="inlineStr">
        <is>
          <t>2026-02-01</t>
        </is>
      </c>
      <c r="L123" s="2" t="n">
        <v>56</v>
      </c>
      <c r="M123" s="2" t="n">
        <v>30</v>
      </c>
      <c r="N123" s="3" t="n">
        <v>0.055</v>
      </c>
      <c r="O123" t="inlineStr">
        <is>
          <t>Tier-3</t>
        </is>
      </c>
      <c r="P123">
        <f>E123-D123</f>
        <v/>
      </c>
      <c r="Q123" s="3">
        <f>IF(D123=0,0,E123/D123-1)</f>
        <v/>
      </c>
      <c r="R123" s="2">
        <f>E123*F123</f>
        <v/>
      </c>
      <c r="S123" s="2">
        <f>H123*(F123*1.5/8)</f>
        <v/>
      </c>
      <c r="T123" s="2">
        <f>R123+S123+L123+M123</f>
        <v/>
      </c>
      <c r="U123">
        <f>IF(G123=0,0,E123/G123)</f>
        <v/>
      </c>
      <c r="V123">
        <f>IF(I123&gt;=95,"A",IF(I123&gt;=85,"B",IF(I123&gt;=75,"C","D")))</f>
        <v/>
      </c>
      <c r="W123">
        <f>ROUND((J123*35)+(I123*0.25)+(U123*0.2)+(IF(Q123&gt;0,100,MAX(0,100+Q123*100))*0.2),2)</f>
        <v/>
      </c>
      <c r="X123" s="2">
        <f>ROUND(T123*N123*IF(V123="A",1.25,IF(V123="B",1.1,IF(V123="C",0.9,0.5))),2)</f>
        <v/>
      </c>
      <c r="Y123">
        <f>IF(OR(I123&lt;80,J123&lt;0.75,E123&lt;D123*0.85),"HIGH",IF(OR(I123&lt;90,J123&lt;0.9),"MEDIUM","LOW"))</f>
        <v/>
      </c>
      <c r="Z123" s="2">
        <f>ROUND(E123*INDEX(Rules!$B$2:$B$6,MATCH(O123,Rules!$A$2:$A$6,0))*INDEX(Rules!$C$2:$C$5,MATCH(V123,Rules!$D$2:$D$5,0)),2)</f>
        <v/>
      </c>
      <c r="AA123" s="2">
        <f>Z123-T123-X123</f>
        <v/>
      </c>
      <c r="AB123" s="3">
        <f>IF(Z123=0,0,AA123/Z123)</f>
        <v/>
      </c>
      <c r="AC123">
        <f>UPPER(LEFT(A123,3)&amp;"-"&amp;LEFT(B123,3)&amp;"-"&amp;TEXT(ROW()-1,"000"))</f>
        <v/>
      </c>
      <c r="AD123">
        <f>INDEX(Rules!$E$2:$E$6,MATCH(O123,Rules!$A$2:$A$6,0))</f>
        <v/>
      </c>
      <c r="AE123" s="2">
        <f>ROUND(AA123*AD123,2)</f>
        <v/>
      </c>
      <c r="AF123">
        <f>RANK(W123,$W$2:$W$181,0)</f>
        <v/>
      </c>
      <c r="AG123">
        <f>IF(AND(AB123&gt;0.18,Y123="LOW"),"PASS",IF(AB123&gt;0.08,"WATCH","FAIL"))</f>
        <v/>
      </c>
      <c r="AH123">
        <f>IFERROR(IF(VLOOKUP(A123,Rules!$G$2:$H$13,2,FALSE)="Priority","Priority Region","Standard Region"),"Standard Region")</f>
        <v/>
      </c>
      <c r="AI123">
        <f>ROUND(SUMPRODUCT(E123:J123,{0.08,0.08,0.15,0.1,0.25,0.34}),2)</f>
        <v/>
      </c>
      <c r="AJ123" s="2">
        <f>ROUND(AE123*INDEX(Rules!$J$2:$J$5,MATCH(MONTH(K123),Rules!$I$2:$I$5,1)),2)</f>
        <v/>
      </c>
    </row>
    <row r="124">
      <c r="A124" t="inlineStr">
        <is>
          <t>Andijan</t>
        </is>
      </c>
      <c r="B124" t="inlineStr">
        <is>
          <t>East-4</t>
        </is>
      </c>
      <c r="C124" t="inlineStr">
        <is>
          <t>Malika Ergasheva</t>
        </is>
      </c>
      <c r="D124" t="n">
        <v>91</v>
      </c>
      <c r="E124" t="n">
        <v>106</v>
      </c>
      <c r="F124" s="2" t="n">
        <v>214</v>
      </c>
      <c r="G124" t="n">
        <v>24</v>
      </c>
      <c r="H124" t="n">
        <v>17</v>
      </c>
      <c r="I124" t="n">
        <v>89</v>
      </c>
      <c r="J124" s="3" t="n">
        <v>1.1648</v>
      </c>
      <c r="K124" s="4" t="inlineStr">
        <is>
          <t>2026-03-01</t>
        </is>
      </c>
      <c r="L124" s="2" t="n">
        <v>64</v>
      </c>
      <c r="M124" s="2" t="n">
        <v>35</v>
      </c>
      <c r="N124" s="3" t="n">
        <v>0.0675</v>
      </c>
      <c r="O124" t="inlineStr">
        <is>
          <t>Tier-4</t>
        </is>
      </c>
      <c r="P124">
        <f>E124-D124</f>
        <v/>
      </c>
      <c r="Q124" s="3">
        <f>IF(D124=0,0,E124/D124-1)</f>
        <v/>
      </c>
      <c r="R124" s="2">
        <f>E124*F124</f>
        <v/>
      </c>
      <c r="S124" s="2">
        <f>H124*(F124*1.5/8)</f>
        <v/>
      </c>
      <c r="T124" s="2">
        <f>R124+S124+L124+M124</f>
        <v/>
      </c>
      <c r="U124">
        <f>IF(G124=0,0,E124/G124)</f>
        <v/>
      </c>
      <c r="V124">
        <f>IF(I124&gt;=95,"A",IF(I124&gt;=85,"B",IF(I124&gt;=75,"C","D")))</f>
        <v/>
      </c>
      <c r="W124">
        <f>ROUND((J124*35)+(I124*0.25)+(U124*0.2)+(IF(Q124&gt;0,100,MAX(0,100+Q124*100))*0.2),2)</f>
        <v/>
      </c>
      <c r="X124" s="2">
        <f>ROUND(T124*N124*IF(V124="A",1.25,IF(V124="B",1.1,IF(V124="C",0.9,0.5))),2)</f>
        <v/>
      </c>
      <c r="Y124">
        <f>IF(OR(I124&lt;80,J124&lt;0.75,E124&lt;D124*0.85),"HIGH",IF(OR(I124&lt;90,J124&lt;0.9),"MEDIUM","LOW"))</f>
        <v/>
      </c>
      <c r="Z124" s="2">
        <f>ROUND(E124*INDEX(Rules!$B$2:$B$6,MATCH(O124,Rules!$A$2:$A$6,0))*INDEX(Rules!$C$2:$C$5,MATCH(V124,Rules!$D$2:$D$5,0)),2)</f>
        <v/>
      </c>
      <c r="AA124" s="2">
        <f>Z124-T124-X124</f>
        <v/>
      </c>
      <c r="AB124" s="3">
        <f>IF(Z124=0,0,AA124/Z124)</f>
        <v/>
      </c>
      <c r="AC124">
        <f>UPPER(LEFT(A124,3)&amp;"-"&amp;LEFT(B124,3)&amp;"-"&amp;TEXT(ROW()-1,"000"))</f>
        <v/>
      </c>
      <c r="AD124">
        <f>INDEX(Rules!$E$2:$E$6,MATCH(O124,Rules!$A$2:$A$6,0))</f>
        <v/>
      </c>
      <c r="AE124" s="2">
        <f>ROUND(AA124*AD124,2)</f>
        <v/>
      </c>
      <c r="AF124">
        <f>RANK(W124,$W$2:$W$181,0)</f>
        <v/>
      </c>
      <c r="AG124">
        <f>IF(AND(AB124&gt;0.18,Y124="LOW"),"PASS",IF(AB124&gt;0.08,"WATCH","FAIL"))</f>
        <v/>
      </c>
      <c r="AH124">
        <f>IFERROR(IF(VLOOKUP(A124,Rules!$G$2:$H$13,2,FALSE)="Priority","Priority Region","Standard Region"),"Standard Region")</f>
        <v/>
      </c>
      <c r="AI124">
        <f>ROUND(SUMPRODUCT(E124:J124,{0.08,0.08,0.15,0.1,0.25,0.34}),2)</f>
        <v/>
      </c>
      <c r="AJ124" s="2">
        <f>ROUND(AE124*INDEX(Rules!$J$2:$J$5,MATCH(MONTH(K124),Rules!$I$2:$I$5,1)),2)</f>
        <v/>
      </c>
    </row>
    <row r="125">
      <c r="A125" t="inlineStr">
        <is>
          <t>Namangan</t>
        </is>
      </c>
      <c r="B125" t="inlineStr">
        <is>
          <t>West-1</t>
        </is>
      </c>
      <c r="C125" t="inlineStr">
        <is>
          <t>Shahzod Islomov</t>
        </is>
      </c>
      <c r="D125" t="n">
        <v>98</v>
      </c>
      <c r="E125" t="n">
        <v>120</v>
      </c>
      <c r="F125" s="2" t="n">
        <v>223</v>
      </c>
      <c r="G125" t="n">
        <v>25</v>
      </c>
      <c r="H125" t="n">
        <v>20</v>
      </c>
      <c r="I125" t="n">
        <v>94</v>
      </c>
      <c r="J125" s="3" t="n">
        <v>1.2245</v>
      </c>
      <c r="K125" s="4" t="inlineStr">
        <is>
          <t>2026-04-01</t>
        </is>
      </c>
      <c r="L125" s="2" t="n">
        <v>72</v>
      </c>
      <c r="M125" s="2" t="n">
        <v>40</v>
      </c>
      <c r="N125" s="3" t="n">
        <v>0.08</v>
      </c>
      <c r="O125" t="inlineStr">
        <is>
          <t>Tier-5</t>
        </is>
      </c>
      <c r="P125">
        <f>E125-D125</f>
        <v/>
      </c>
      <c r="Q125" s="3">
        <f>IF(D125=0,0,E125/D125-1)</f>
        <v/>
      </c>
      <c r="R125" s="2">
        <f>E125*F125</f>
        <v/>
      </c>
      <c r="S125" s="2">
        <f>H125*(F125*1.5/8)</f>
        <v/>
      </c>
      <c r="T125" s="2">
        <f>R125+S125+L125+M125</f>
        <v/>
      </c>
      <c r="U125">
        <f>IF(G125=0,0,E125/G125)</f>
        <v/>
      </c>
      <c r="V125">
        <f>IF(I125&gt;=95,"A",IF(I125&gt;=85,"B",IF(I125&gt;=75,"C","D")))</f>
        <v/>
      </c>
      <c r="W125">
        <f>ROUND((J125*35)+(I125*0.25)+(U125*0.2)+(IF(Q125&gt;0,100,MAX(0,100+Q125*100))*0.2),2)</f>
        <v/>
      </c>
      <c r="X125" s="2">
        <f>ROUND(T125*N125*IF(V125="A",1.25,IF(V125="B",1.1,IF(V125="C",0.9,0.5))),2)</f>
        <v/>
      </c>
      <c r="Y125">
        <f>IF(OR(I125&lt;80,J125&lt;0.75,E125&lt;D125*0.85),"HIGH",IF(OR(I125&lt;90,J125&lt;0.9),"MEDIUM","LOW"))</f>
        <v/>
      </c>
      <c r="Z125" s="2">
        <f>ROUND(E125*INDEX(Rules!$B$2:$B$6,MATCH(O125,Rules!$A$2:$A$6,0))*INDEX(Rules!$C$2:$C$5,MATCH(V125,Rules!$D$2:$D$5,0)),2)</f>
        <v/>
      </c>
      <c r="AA125" s="2">
        <f>Z125-T125-X125</f>
        <v/>
      </c>
      <c r="AB125" s="3">
        <f>IF(Z125=0,0,AA125/Z125)</f>
        <v/>
      </c>
      <c r="AC125">
        <f>UPPER(LEFT(A125,3)&amp;"-"&amp;LEFT(B125,3)&amp;"-"&amp;TEXT(ROW()-1,"000"))</f>
        <v/>
      </c>
      <c r="AD125">
        <f>INDEX(Rules!$E$2:$E$6,MATCH(O125,Rules!$A$2:$A$6,0))</f>
        <v/>
      </c>
      <c r="AE125" s="2">
        <f>ROUND(AA125*AD125,2)</f>
        <v/>
      </c>
      <c r="AF125">
        <f>RANK(W125,$W$2:$W$181,0)</f>
        <v/>
      </c>
      <c r="AG125">
        <f>IF(AND(AB125&gt;0.18,Y125="LOW"),"PASS",IF(AB125&gt;0.08,"WATCH","FAIL"))</f>
        <v/>
      </c>
      <c r="AH125">
        <f>IFERROR(IF(VLOOKUP(A125,Rules!$G$2:$H$13,2,FALSE)="Priority","Priority Region","Standard Region"),"Standard Region")</f>
        <v/>
      </c>
      <c r="AI125">
        <f>ROUND(SUMPRODUCT(E125:J125,{0.08,0.08,0.15,0.1,0.25,0.34}),2)</f>
        <v/>
      </c>
      <c r="AJ125" s="2">
        <f>ROUND(AE125*INDEX(Rules!$J$2:$J$5,MATCH(MONTH(K125),Rules!$I$2:$I$5,1)),2)</f>
        <v/>
      </c>
    </row>
    <row r="126">
      <c r="A126" t="inlineStr">
        <is>
          <t>Fergana</t>
        </is>
      </c>
      <c r="B126" t="inlineStr">
        <is>
          <t>Industrial-2</t>
        </is>
      </c>
      <c r="C126" t="inlineStr">
        <is>
          <t>Nilufar Tursunova</t>
        </is>
      </c>
      <c r="D126" t="n">
        <v>105</v>
      </c>
      <c r="E126" t="n">
        <v>129</v>
      </c>
      <c r="F126" s="2" t="n">
        <v>232</v>
      </c>
      <c r="G126" t="n">
        <v>26</v>
      </c>
      <c r="H126" t="n">
        <v>1</v>
      </c>
      <c r="I126" t="n">
        <v>99</v>
      </c>
      <c r="J126" s="3" t="n">
        <v>1.2286</v>
      </c>
      <c r="K126" s="4" t="inlineStr">
        <is>
          <t>2026-05-01</t>
        </is>
      </c>
      <c r="L126" s="2" t="n">
        <v>80</v>
      </c>
      <c r="M126" s="2" t="n">
        <v>45</v>
      </c>
      <c r="N126" s="3" t="n">
        <v>0.0925</v>
      </c>
      <c r="O126" t="inlineStr">
        <is>
          <t>Tier-1</t>
        </is>
      </c>
      <c r="P126">
        <f>E126-D126</f>
        <v/>
      </c>
      <c r="Q126" s="3">
        <f>IF(D126=0,0,E126/D126-1)</f>
        <v/>
      </c>
      <c r="R126" s="2">
        <f>E126*F126</f>
        <v/>
      </c>
      <c r="S126" s="2">
        <f>H126*(F126*1.5/8)</f>
        <v/>
      </c>
      <c r="T126" s="2">
        <f>R126+S126+L126+M126</f>
        <v/>
      </c>
      <c r="U126">
        <f>IF(G126=0,0,E126/G126)</f>
        <v/>
      </c>
      <c r="V126">
        <f>IF(I126&gt;=95,"A",IF(I126&gt;=85,"B",IF(I126&gt;=75,"C","D")))</f>
        <v/>
      </c>
      <c r="W126">
        <f>ROUND((J126*35)+(I126*0.25)+(U126*0.2)+(IF(Q126&gt;0,100,MAX(0,100+Q126*100))*0.2),2)</f>
        <v/>
      </c>
      <c r="X126" s="2">
        <f>ROUND(T126*N126*IF(V126="A",1.25,IF(V126="B",1.1,IF(V126="C",0.9,0.5))),2)</f>
        <v/>
      </c>
      <c r="Y126">
        <f>IF(OR(I126&lt;80,J126&lt;0.75,E126&lt;D126*0.85),"HIGH",IF(OR(I126&lt;90,J126&lt;0.9),"MEDIUM","LOW"))</f>
        <v/>
      </c>
      <c r="Z126" s="2">
        <f>ROUND(E126*INDEX(Rules!$B$2:$B$6,MATCH(O126,Rules!$A$2:$A$6,0))*INDEX(Rules!$C$2:$C$5,MATCH(V126,Rules!$D$2:$D$5,0)),2)</f>
        <v/>
      </c>
      <c r="AA126" s="2">
        <f>Z126-T126-X126</f>
        <v/>
      </c>
      <c r="AB126" s="3">
        <f>IF(Z126=0,0,AA126/Z126)</f>
        <v/>
      </c>
      <c r="AC126">
        <f>UPPER(LEFT(A126,3)&amp;"-"&amp;LEFT(B126,3)&amp;"-"&amp;TEXT(ROW()-1,"000"))</f>
        <v/>
      </c>
      <c r="AD126">
        <f>INDEX(Rules!$E$2:$E$6,MATCH(O126,Rules!$A$2:$A$6,0))</f>
        <v/>
      </c>
      <c r="AE126" s="2">
        <f>ROUND(AA126*AD126,2)</f>
        <v/>
      </c>
      <c r="AF126">
        <f>RANK(W126,$W$2:$W$181,0)</f>
        <v/>
      </c>
      <c r="AG126">
        <f>IF(AND(AB126&gt;0.18,Y126="LOW"),"PASS",IF(AB126&gt;0.08,"WATCH","FAIL"))</f>
        <v/>
      </c>
      <c r="AH126">
        <f>IFERROR(IF(VLOOKUP(A126,Rules!$G$2:$H$13,2,FALSE)="Priority","Priority Region","Standard Region"),"Standard Region")</f>
        <v/>
      </c>
      <c r="AI126">
        <f>ROUND(SUMPRODUCT(E126:J126,{0.08,0.08,0.15,0.1,0.25,0.34}),2)</f>
        <v/>
      </c>
      <c r="AJ126" s="2">
        <f>ROUND(AE126*INDEX(Rules!$J$2:$J$5,MATCH(MONTH(K126),Rules!$I$2:$I$5,1)),2)</f>
        <v/>
      </c>
    </row>
    <row r="127">
      <c r="A127" t="inlineStr">
        <is>
          <t>Kashkadarya</t>
        </is>
      </c>
      <c r="B127" t="inlineStr">
        <is>
          <t>Rural-3</t>
        </is>
      </c>
      <c r="C127" t="inlineStr">
        <is>
          <t>Sardor Jabborov</t>
        </is>
      </c>
      <c r="D127" t="n">
        <v>112</v>
      </c>
      <c r="E127" t="n">
        <v>89</v>
      </c>
      <c r="F127" s="2" t="n">
        <v>115</v>
      </c>
      <c r="G127" t="n">
        <v>18</v>
      </c>
      <c r="H127" t="n">
        <v>4</v>
      </c>
      <c r="I127" t="n">
        <v>71</v>
      </c>
      <c r="J127" s="3" t="n">
        <v>0.7946</v>
      </c>
      <c r="K127" s="4" t="inlineStr">
        <is>
          <t>2026-06-01</t>
        </is>
      </c>
      <c r="L127" s="2" t="n">
        <v>88</v>
      </c>
      <c r="M127" s="2" t="n">
        <v>50</v>
      </c>
      <c r="N127" s="3" t="n">
        <v>0.03</v>
      </c>
      <c r="O127" t="inlineStr">
        <is>
          <t>Tier-2</t>
        </is>
      </c>
      <c r="P127">
        <f>E127-D127</f>
        <v/>
      </c>
      <c r="Q127" s="3">
        <f>IF(D127=0,0,E127/D127-1)</f>
        <v/>
      </c>
      <c r="R127" s="2">
        <f>E127*F127</f>
        <v/>
      </c>
      <c r="S127" s="2">
        <f>H127*(F127*1.5/8)</f>
        <v/>
      </c>
      <c r="T127" s="2">
        <f>R127+S127+L127+M127</f>
        <v/>
      </c>
      <c r="U127">
        <f>IF(G127=0,0,E127/G127)</f>
        <v/>
      </c>
      <c r="V127">
        <f>IF(I127&gt;=95,"A",IF(I127&gt;=85,"B",IF(I127&gt;=75,"C","D")))</f>
        <v/>
      </c>
      <c r="W127">
        <f>ROUND((J127*35)+(I127*0.25)+(U127*0.2)+(IF(Q127&gt;0,100,MAX(0,100+Q127*100))*0.2),2)</f>
        <v/>
      </c>
      <c r="X127" s="2">
        <f>ROUND(T127*N127*IF(V127="A",1.25,IF(V127="B",1.1,IF(V127="C",0.9,0.5))),2)</f>
        <v/>
      </c>
      <c r="Y127">
        <f>IF(OR(I127&lt;80,J127&lt;0.75,E127&lt;D127*0.85),"HIGH",IF(OR(I127&lt;90,J127&lt;0.9),"MEDIUM","LOW"))</f>
        <v/>
      </c>
      <c r="Z127" s="2">
        <f>ROUND(E127*INDEX(Rules!$B$2:$B$6,MATCH(O127,Rules!$A$2:$A$6,0))*INDEX(Rules!$C$2:$C$5,MATCH(V127,Rules!$D$2:$D$5,0)),2)</f>
        <v/>
      </c>
      <c r="AA127" s="2">
        <f>Z127-T127-X127</f>
        <v/>
      </c>
      <c r="AB127" s="3">
        <f>IF(Z127=0,0,AA127/Z127)</f>
        <v/>
      </c>
      <c r="AC127">
        <f>UPPER(LEFT(A127,3)&amp;"-"&amp;LEFT(B127,3)&amp;"-"&amp;TEXT(ROW()-1,"000"))</f>
        <v/>
      </c>
      <c r="AD127">
        <f>INDEX(Rules!$E$2:$E$6,MATCH(O127,Rules!$A$2:$A$6,0))</f>
        <v/>
      </c>
      <c r="AE127" s="2">
        <f>ROUND(AA127*AD127,2)</f>
        <v/>
      </c>
      <c r="AF127">
        <f>RANK(W127,$W$2:$W$181,0)</f>
        <v/>
      </c>
      <c r="AG127">
        <f>IF(AND(AB127&gt;0.18,Y127="LOW"),"PASS",IF(AB127&gt;0.08,"WATCH","FAIL"))</f>
        <v/>
      </c>
      <c r="AH127">
        <f>IFERROR(IF(VLOOKUP(A127,Rules!$G$2:$H$13,2,FALSE)="Priority","Priority Region","Standard Region"),"Standard Region")</f>
        <v/>
      </c>
      <c r="AI127">
        <f>ROUND(SUMPRODUCT(E127:J127,{0.08,0.08,0.15,0.1,0.25,0.34}),2)</f>
        <v/>
      </c>
      <c r="AJ127" s="2">
        <f>ROUND(AE127*INDEX(Rules!$J$2:$J$5,MATCH(MONTH(K127),Rules!$I$2:$I$5,1)),2)</f>
        <v/>
      </c>
    </row>
    <row r="128">
      <c r="A128" t="inlineStr">
        <is>
          <t>Surkhandarya</t>
        </is>
      </c>
      <c r="B128" t="inlineStr">
        <is>
          <t>Urban-4</t>
        </is>
      </c>
      <c r="C128" t="inlineStr">
        <is>
          <t>Kamola Rahimova</t>
        </is>
      </c>
      <c r="D128" t="n">
        <v>119</v>
      </c>
      <c r="E128" t="n">
        <v>103</v>
      </c>
      <c r="F128" s="2" t="n">
        <v>124</v>
      </c>
      <c r="G128" t="n">
        <v>19</v>
      </c>
      <c r="H128" t="n">
        <v>7</v>
      </c>
      <c r="I128" t="n">
        <v>76</v>
      </c>
      <c r="J128" s="3" t="n">
        <v>0.8655</v>
      </c>
      <c r="K128" s="4" t="inlineStr">
        <is>
          <t>2026-07-01</t>
        </is>
      </c>
      <c r="L128" s="2" t="n">
        <v>96</v>
      </c>
      <c r="M128" s="2" t="n">
        <v>55</v>
      </c>
      <c r="N128" s="3" t="n">
        <v>0.0425</v>
      </c>
      <c r="O128" t="inlineStr">
        <is>
          <t>Tier-3</t>
        </is>
      </c>
      <c r="P128">
        <f>E128-D128</f>
        <v/>
      </c>
      <c r="Q128" s="3">
        <f>IF(D128=0,0,E128/D128-1)</f>
        <v/>
      </c>
      <c r="R128" s="2">
        <f>E128*F128</f>
        <v/>
      </c>
      <c r="S128" s="2">
        <f>H128*(F128*1.5/8)</f>
        <v/>
      </c>
      <c r="T128" s="2">
        <f>R128+S128+L128+M128</f>
        <v/>
      </c>
      <c r="U128">
        <f>IF(G128=0,0,E128/G128)</f>
        <v/>
      </c>
      <c r="V128">
        <f>IF(I128&gt;=95,"A",IF(I128&gt;=85,"B",IF(I128&gt;=75,"C","D")))</f>
        <v/>
      </c>
      <c r="W128">
        <f>ROUND((J128*35)+(I128*0.25)+(U128*0.2)+(IF(Q128&gt;0,100,MAX(0,100+Q128*100))*0.2),2)</f>
        <v/>
      </c>
      <c r="X128" s="2">
        <f>ROUND(T128*N128*IF(V128="A",1.25,IF(V128="B",1.1,IF(V128="C",0.9,0.5))),2)</f>
        <v/>
      </c>
      <c r="Y128">
        <f>IF(OR(I128&lt;80,J128&lt;0.75,E128&lt;D128*0.85),"HIGH",IF(OR(I128&lt;90,J128&lt;0.9),"MEDIUM","LOW"))</f>
        <v/>
      </c>
      <c r="Z128" s="2">
        <f>ROUND(E128*INDEX(Rules!$B$2:$B$6,MATCH(O128,Rules!$A$2:$A$6,0))*INDEX(Rules!$C$2:$C$5,MATCH(V128,Rules!$D$2:$D$5,0)),2)</f>
        <v/>
      </c>
      <c r="AA128" s="2">
        <f>Z128-T128-X128</f>
        <v/>
      </c>
      <c r="AB128" s="3">
        <f>IF(Z128=0,0,AA128/Z128)</f>
        <v/>
      </c>
      <c r="AC128">
        <f>UPPER(LEFT(A128,3)&amp;"-"&amp;LEFT(B128,3)&amp;"-"&amp;TEXT(ROW()-1,"000"))</f>
        <v/>
      </c>
      <c r="AD128">
        <f>INDEX(Rules!$E$2:$E$6,MATCH(O128,Rules!$A$2:$A$6,0))</f>
        <v/>
      </c>
      <c r="AE128" s="2">
        <f>ROUND(AA128*AD128,2)</f>
        <v/>
      </c>
      <c r="AF128">
        <f>RANK(W128,$W$2:$W$181,0)</f>
        <v/>
      </c>
      <c r="AG128">
        <f>IF(AND(AB128&gt;0.18,Y128="LOW"),"PASS",IF(AB128&gt;0.08,"WATCH","FAIL"))</f>
        <v/>
      </c>
      <c r="AH128">
        <f>IFERROR(IF(VLOOKUP(A128,Rules!$G$2:$H$13,2,FALSE)="Priority","Priority Region","Standard Region"),"Standard Region")</f>
        <v/>
      </c>
      <c r="AI128">
        <f>ROUND(SUMPRODUCT(E128:J128,{0.08,0.08,0.15,0.1,0.25,0.34}),2)</f>
        <v/>
      </c>
      <c r="AJ128" s="2">
        <f>ROUND(AE128*INDEX(Rules!$J$2:$J$5,MATCH(MONTH(K128),Rules!$I$2:$I$5,1)),2)</f>
        <v/>
      </c>
    </row>
    <row r="129">
      <c r="A129" t="inlineStr">
        <is>
          <t>Khorezm</t>
        </is>
      </c>
      <c r="B129" t="inlineStr">
        <is>
          <t>Central-1</t>
        </is>
      </c>
      <c r="C129" t="inlineStr">
        <is>
          <t>Aziza Karimova</t>
        </is>
      </c>
      <c r="D129" t="n">
        <v>126</v>
      </c>
      <c r="E129" t="n">
        <v>117</v>
      </c>
      <c r="F129" s="2" t="n">
        <v>133</v>
      </c>
      <c r="G129" t="n">
        <v>20</v>
      </c>
      <c r="H129" t="n">
        <v>10</v>
      </c>
      <c r="I129" t="n">
        <v>81</v>
      </c>
      <c r="J129" s="3" t="n">
        <v>0.9286</v>
      </c>
      <c r="K129" s="4" t="inlineStr">
        <is>
          <t>2026-08-01</t>
        </is>
      </c>
      <c r="L129" s="2" t="n">
        <v>104</v>
      </c>
      <c r="M129" s="2" t="n">
        <v>60</v>
      </c>
      <c r="N129" s="3" t="n">
        <v>0.055</v>
      </c>
      <c r="O129" t="inlineStr">
        <is>
          <t>Tier-4</t>
        </is>
      </c>
      <c r="P129">
        <f>E129-D129</f>
        <v/>
      </c>
      <c r="Q129" s="3">
        <f>IF(D129=0,0,E129/D129-1)</f>
        <v/>
      </c>
      <c r="R129" s="2">
        <f>E129*F129</f>
        <v/>
      </c>
      <c r="S129" s="2">
        <f>H129*(F129*1.5/8)</f>
        <v/>
      </c>
      <c r="T129" s="2">
        <f>R129+S129+L129+M129</f>
        <v/>
      </c>
      <c r="U129">
        <f>IF(G129=0,0,E129/G129)</f>
        <v/>
      </c>
      <c r="V129">
        <f>IF(I129&gt;=95,"A",IF(I129&gt;=85,"B",IF(I129&gt;=75,"C","D")))</f>
        <v/>
      </c>
      <c r="W129">
        <f>ROUND((J129*35)+(I129*0.25)+(U129*0.2)+(IF(Q129&gt;0,100,MAX(0,100+Q129*100))*0.2),2)</f>
        <v/>
      </c>
      <c r="X129" s="2">
        <f>ROUND(T129*N129*IF(V129="A",1.25,IF(V129="B",1.1,IF(V129="C",0.9,0.5))),2)</f>
        <v/>
      </c>
      <c r="Y129">
        <f>IF(OR(I129&lt;80,J129&lt;0.75,E129&lt;D129*0.85),"HIGH",IF(OR(I129&lt;90,J129&lt;0.9),"MEDIUM","LOW"))</f>
        <v/>
      </c>
      <c r="Z129" s="2">
        <f>ROUND(E129*INDEX(Rules!$B$2:$B$6,MATCH(O129,Rules!$A$2:$A$6,0))*INDEX(Rules!$C$2:$C$5,MATCH(V129,Rules!$D$2:$D$5,0)),2)</f>
        <v/>
      </c>
      <c r="AA129" s="2">
        <f>Z129-T129-X129</f>
        <v/>
      </c>
      <c r="AB129" s="3">
        <f>IF(Z129=0,0,AA129/Z129)</f>
        <v/>
      </c>
      <c r="AC129">
        <f>UPPER(LEFT(A129,3)&amp;"-"&amp;LEFT(B129,3)&amp;"-"&amp;TEXT(ROW()-1,"000"))</f>
        <v/>
      </c>
      <c r="AD129">
        <f>INDEX(Rules!$E$2:$E$6,MATCH(O129,Rules!$A$2:$A$6,0))</f>
        <v/>
      </c>
      <c r="AE129" s="2">
        <f>ROUND(AA129*AD129,2)</f>
        <v/>
      </c>
      <c r="AF129">
        <f>RANK(W129,$W$2:$W$181,0)</f>
        <v/>
      </c>
      <c r="AG129">
        <f>IF(AND(AB129&gt;0.18,Y129="LOW"),"PASS",IF(AB129&gt;0.08,"WATCH","FAIL"))</f>
        <v/>
      </c>
      <c r="AH129">
        <f>IFERROR(IF(VLOOKUP(A129,Rules!$G$2:$H$13,2,FALSE)="Priority","Priority Region","Standard Region"),"Standard Region")</f>
        <v/>
      </c>
      <c r="AI129">
        <f>ROUND(SUMPRODUCT(E129:J129,{0.08,0.08,0.15,0.1,0.25,0.34}),2)</f>
        <v/>
      </c>
      <c r="AJ129" s="2">
        <f>ROUND(AE129*INDEX(Rules!$J$2:$J$5,MATCH(MONTH(K129),Rules!$I$2:$I$5,1)),2)</f>
        <v/>
      </c>
    </row>
    <row r="130">
      <c r="A130" t="inlineStr">
        <is>
          <t>Jizzakh</t>
        </is>
      </c>
      <c r="B130" t="inlineStr">
        <is>
          <t>North-2</t>
        </is>
      </c>
      <c r="C130" t="inlineStr">
        <is>
          <t>Bekzod Aliyev</t>
        </is>
      </c>
      <c r="D130" t="n">
        <v>133</v>
      </c>
      <c r="E130" t="n">
        <v>131</v>
      </c>
      <c r="F130" s="2" t="n">
        <v>142</v>
      </c>
      <c r="G130" t="n">
        <v>21</v>
      </c>
      <c r="H130" t="n">
        <v>13</v>
      </c>
      <c r="I130" t="n">
        <v>86</v>
      </c>
      <c r="J130" s="3" t="n">
        <v>0.985</v>
      </c>
      <c r="K130" s="4" t="inlineStr">
        <is>
          <t>2026-09-01</t>
        </is>
      </c>
      <c r="L130" s="2" t="n">
        <v>112</v>
      </c>
      <c r="M130" s="2" t="n">
        <v>65</v>
      </c>
      <c r="N130" s="3" t="n">
        <v>0.0675</v>
      </c>
      <c r="O130" t="inlineStr">
        <is>
          <t>Tier-5</t>
        </is>
      </c>
      <c r="P130">
        <f>E130-D130</f>
        <v/>
      </c>
      <c r="Q130" s="3">
        <f>IF(D130=0,0,E130/D130-1)</f>
        <v/>
      </c>
      <c r="R130" s="2">
        <f>E130*F130</f>
        <v/>
      </c>
      <c r="S130" s="2">
        <f>H130*(F130*1.5/8)</f>
        <v/>
      </c>
      <c r="T130" s="2">
        <f>R130+S130+L130+M130</f>
        <v/>
      </c>
      <c r="U130">
        <f>IF(G130=0,0,E130/G130)</f>
        <v/>
      </c>
      <c r="V130">
        <f>IF(I130&gt;=95,"A",IF(I130&gt;=85,"B",IF(I130&gt;=75,"C","D")))</f>
        <v/>
      </c>
      <c r="W130">
        <f>ROUND((J130*35)+(I130*0.25)+(U130*0.2)+(IF(Q130&gt;0,100,MAX(0,100+Q130*100))*0.2),2)</f>
        <v/>
      </c>
      <c r="X130" s="2">
        <f>ROUND(T130*N130*IF(V130="A",1.25,IF(V130="B",1.1,IF(V130="C",0.9,0.5))),2)</f>
        <v/>
      </c>
      <c r="Y130">
        <f>IF(OR(I130&lt;80,J130&lt;0.75,E130&lt;D130*0.85),"HIGH",IF(OR(I130&lt;90,J130&lt;0.9),"MEDIUM","LOW"))</f>
        <v/>
      </c>
      <c r="Z130" s="2">
        <f>ROUND(E130*INDEX(Rules!$B$2:$B$6,MATCH(O130,Rules!$A$2:$A$6,0))*INDEX(Rules!$C$2:$C$5,MATCH(V130,Rules!$D$2:$D$5,0)),2)</f>
        <v/>
      </c>
      <c r="AA130" s="2">
        <f>Z130-T130-X130</f>
        <v/>
      </c>
      <c r="AB130" s="3">
        <f>IF(Z130=0,0,AA130/Z130)</f>
        <v/>
      </c>
      <c r="AC130">
        <f>UPPER(LEFT(A130,3)&amp;"-"&amp;LEFT(B130,3)&amp;"-"&amp;TEXT(ROW()-1,"000"))</f>
        <v/>
      </c>
      <c r="AD130">
        <f>INDEX(Rules!$E$2:$E$6,MATCH(O130,Rules!$A$2:$A$6,0))</f>
        <v/>
      </c>
      <c r="AE130" s="2">
        <f>ROUND(AA130*AD130,2)</f>
        <v/>
      </c>
      <c r="AF130">
        <f>RANK(W130,$W$2:$W$181,0)</f>
        <v/>
      </c>
      <c r="AG130">
        <f>IF(AND(AB130&gt;0.18,Y130="LOW"),"PASS",IF(AB130&gt;0.08,"WATCH","FAIL"))</f>
        <v/>
      </c>
      <c r="AH130">
        <f>IFERROR(IF(VLOOKUP(A130,Rules!$G$2:$H$13,2,FALSE)="Priority","Priority Region","Standard Region"),"Standard Region")</f>
        <v/>
      </c>
      <c r="AI130">
        <f>ROUND(SUMPRODUCT(E130:J130,{0.08,0.08,0.15,0.1,0.25,0.34}),2)</f>
        <v/>
      </c>
      <c r="AJ130" s="2">
        <f>ROUND(AE130*INDEX(Rules!$J$2:$J$5,MATCH(MONTH(K130),Rules!$I$2:$I$5,1)),2)</f>
        <v/>
      </c>
    </row>
    <row r="131">
      <c r="A131" t="inlineStr">
        <is>
          <t>Navoi</t>
        </is>
      </c>
      <c r="B131" t="inlineStr">
        <is>
          <t>South-3</t>
        </is>
      </c>
      <c r="C131" t="inlineStr">
        <is>
          <t>Dilshod Rustamov</t>
        </is>
      </c>
      <c r="D131" t="n">
        <v>140</v>
      </c>
      <c r="E131" t="n">
        <v>140</v>
      </c>
      <c r="F131" s="2" t="n">
        <v>151</v>
      </c>
      <c r="G131" t="n">
        <v>22</v>
      </c>
      <c r="H131" t="n">
        <v>16</v>
      </c>
      <c r="I131" t="n">
        <v>91</v>
      </c>
      <c r="J131" s="3" t="n">
        <v>1</v>
      </c>
      <c r="K131" s="4" t="inlineStr">
        <is>
          <t>2026-10-01</t>
        </is>
      </c>
      <c r="L131" s="2" t="n">
        <v>120</v>
      </c>
      <c r="M131" s="2" t="n">
        <v>20</v>
      </c>
      <c r="N131" s="3" t="n">
        <v>0.08</v>
      </c>
      <c r="O131" t="inlineStr">
        <is>
          <t>Tier-1</t>
        </is>
      </c>
      <c r="P131">
        <f>E131-D131</f>
        <v/>
      </c>
      <c r="Q131" s="3">
        <f>IF(D131=0,0,E131/D131-1)</f>
        <v/>
      </c>
      <c r="R131" s="2">
        <f>E131*F131</f>
        <v/>
      </c>
      <c r="S131" s="2">
        <f>H131*(F131*1.5/8)</f>
        <v/>
      </c>
      <c r="T131" s="2">
        <f>R131+S131+L131+M131</f>
        <v/>
      </c>
      <c r="U131">
        <f>IF(G131=0,0,E131/G131)</f>
        <v/>
      </c>
      <c r="V131">
        <f>IF(I131&gt;=95,"A",IF(I131&gt;=85,"B",IF(I131&gt;=75,"C","D")))</f>
        <v/>
      </c>
      <c r="W131">
        <f>ROUND((J131*35)+(I131*0.25)+(U131*0.2)+(IF(Q131&gt;0,100,MAX(0,100+Q131*100))*0.2),2)</f>
        <v/>
      </c>
      <c r="X131" s="2">
        <f>ROUND(T131*N131*IF(V131="A",1.25,IF(V131="B",1.1,IF(V131="C",0.9,0.5))),2)</f>
        <v/>
      </c>
      <c r="Y131">
        <f>IF(OR(I131&lt;80,J131&lt;0.75,E131&lt;D131*0.85),"HIGH",IF(OR(I131&lt;90,J131&lt;0.9),"MEDIUM","LOW"))</f>
        <v/>
      </c>
      <c r="Z131" s="2">
        <f>ROUND(E131*INDEX(Rules!$B$2:$B$6,MATCH(O131,Rules!$A$2:$A$6,0))*INDEX(Rules!$C$2:$C$5,MATCH(V131,Rules!$D$2:$D$5,0)),2)</f>
        <v/>
      </c>
      <c r="AA131" s="2">
        <f>Z131-T131-X131</f>
        <v/>
      </c>
      <c r="AB131" s="3">
        <f>IF(Z131=0,0,AA131/Z131)</f>
        <v/>
      </c>
      <c r="AC131">
        <f>UPPER(LEFT(A131,3)&amp;"-"&amp;LEFT(B131,3)&amp;"-"&amp;TEXT(ROW()-1,"000"))</f>
        <v/>
      </c>
      <c r="AD131">
        <f>INDEX(Rules!$E$2:$E$6,MATCH(O131,Rules!$A$2:$A$6,0))</f>
        <v/>
      </c>
      <c r="AE131" s="2">
        <f>ROUND(AA131*AD131,2)</f>
        <v/>
      </c>
      <c r="AF131">
        <f>RANK(W131,$W$2:$W$181,0)</f>
        <v/>
      </c>
      <c r="AG131">
        <f>IF(AND(AB131&gt;0.18,Y131="LOW"),"PASS",IF(AB131&gt;0.08,"WATCH","FAIL"))</f>
        <v/>
      </c>
      <c r="AH131">
        <f>IFERROR(IF(VLOOKUP(A131,Rules!$G$2:$H$13,2,FALSE)="Priority","Priority Region","Standard Region"),"Standard Region")</f>
        <v/>
      </c>
      <c r="AI131">
        <f>ROUND(SUMPRODUCT(E131:J131,{0.08,0.08,0.15,0.1,0.25,0.34}),2)</f>
        <v/>
      </c>
      <c r="AJ131" s="2">
        <f>ROUND(AE131*INDEX(Rules!$J$2:$J$5,MATCH(MONTH(K131),Rules!$I$2:$I$5,1)),2)</f>
        <v/>
      </c>
    </row>
    <row r="132">
      <c r="A132" t="inlineStr">
        <is>
          <t>Syrdarya</t>
        </is>
      </c>
      <c r="B132" t="inlineStr">
        <is>
          <t>East-4</t>
        </is>
      </c>
      <c r="C132" t="inlineStr">
        <is>
          <t>Malika Ergasheva</t>
        </is>
      </c>
      <c r="D132" t="n">
        <v>147</v>
      </c>
      <c r="E132" t="n">
        <v>154</v>
      </c>
      <c r="F132" s="2" t="n">
        <v>160</v>
      </c>
      <c r="G132" t="n">
        <v>23</v>
      </c>
      <c r="H132" t="n">
        <v>19</v>
      </c>
      <c r="I132" t="n">
        <v>96</v>
      </c>
      <c r="J132" s="3" t="n">
        <v>1.0476</v>
      </c>
      <c r="K132" s="4" t="inlineStr">
        <is>
          <t>2026-11-01</t>
        </is>
      </c>
      <c r="L132" s="2" t="n">
        <v>128</v>
      </c>
      <c r="M132" s="2" t="n">
        <v>25</v>
      </c>
      <c r="N132" s="3" t="n">
        <v>0.0925</v>
      </c>
      <c r="O132" t="inlineStr">
        <is>
          <t>Tier-2</t>
        </is>
      </c>
      <c r="P132">
        <f>E132-D132</f>
        <v/>
      </c>
      <c r="Q132" s="3">
        <f>IF(D132=0,0,E132/D132-1)</f>
        <v/>
      </c>
      <c r="R132" s="2">
        <f>E132*F132</f>
        <v/>
      </c>
      <c r="S132" s="2">
        <f>H132*(F132*1.5/8)</f>
        <v/>
      </c>
      <c r="T132" s="2">
        <f>R132+S132+L132+M132</f>
        <v/>
      </c>
      <c r="U132">
        <f>IF(G132=0,0,E132/G132)</f>
        <v/>
      </c>
      <c r="V132">
        <f>IF(I132&gt;=95,"A",IF(I132&gt;=85,"B",IF(I132&gt;=75,"C","D")))</f>
        <v/>
      </c>
      <c r="W132">
        <f>ROUND((J132*35)+(I132*0.25)+(U132*0.2)+(IF(Q132&gt;0,100,MAX(0,100+Q132*100))*0.2),2)</f>
        <v/>
      </c>
      <c r="X132" s="2">
        <f>ROUND(T132*N132*IF(V132="A",1.25,IF(V132="B",1.1,IF(V132="C",0.9,0.5))),2)</f>
        <v/>
      </c>
      <c r="Y132">
        <f>IF(OR(I132&lt;80,J132&lt;0.75,E132&lt;D132*0.85),"HIGH",IF(OR(I132&lt;90,J132&lt;0.9),"MEDIUM","LOW"))</f>
        <v/>
      </c>
      <c r="Z132" s="2">
        <f>ROUND(E132*INDEX(Rules!$B$2:$B$6,MATCH(O132,Rules!$A$2:$A$6,0))*INDEX(Rules!$C$2:$C$5,MATCH(V132,Rules!$D$2:$D$5,0)),2)</f>
        <v/>
      </c>
      <c r="AA132" s="2">
        <f>Z132-T132-X132</f>
        <v/>
      </c>
      <c r="AB132" s="3">
        <f>IF(Z132=0,0,AA132/Z132)</f>
        <v/>
      </c>
      <c r="AC132">
        <f>UPPER(LEFT(A132,3)&amp;"-"&amp;LEFT(B132,3)&amp;"-"&amp;TEXT(ROW()-1,"000"))</f>
        <v/>
      </c>
      <c r="AD132">
        <f>INDEX(Rules!$E$2:$E$6,MATCH(O132,Rules!$A$2:$A$6,0))</f>
        <v/>
      </c>
      <c r="AE132" s="2">
        <f>ROUND(AA132*AD132,2)</f>
        <v/>
      </c>
      <c r="AF132">
        <f>RANK(W132,$W$2:$W$181,0)</f>
        <v/>
      </c>
      <c r="AG132">
        <f>IF(AND(AB132&gt;0.18,Y132="LOW"),"PASS",IF(AB132&gt;0.08,"WATCH","FAIL"))</f>
        <v/>
      </c>
      <c r="AH132">
        <f>IFERROR(IF(VLOOKUP(A132,Rules!$G$2:$H$13,2,FALSE)="Priority","Priority Region","Standard Region"),"Standard Region")</f>
        <v/>
      </c>
      <c r="AI132">
        <f>ROUND(SUMPRODUCT(E132:J132,{0.08,0.08,0.15,0.1,0.25,0.34}),2)</f>
        <v/>
      </c>
      <c r="AJ132" s="2">
        <f>ROUND(AE132*INDEX(Rules!$J$2:$J$5,MATCH(MONTH(K132),Rules!$I$2:$I$5,1)),2)</f>
        <v/>
      </c>
    </row>
    <row r="133">
      <c r="A133" t="inlineStr">
        <is>
          <t>Tashkent</t>
        </is>
      </c>
      <c r="B133" t="inlineStr">
        <is>
          <t>West-1</t>
        </is>
      </c>
      <c r="C133" t="inlineStr">
        <is>
          <t>Shahzod Islomov</t>
        </is>
      </c>
      <c r="D133" t="n">
        <v>154</v>
      </c>
      <c r="E133" t="n">
        <v>168</v>
      </c>
      <c r="F133" s="2" t="n">
        <v>169</v>
      </c>
      <c r="G133" t="n">
        <v>24</v>
      </c>
      <c r="H133" t="n">
        <v>0</v>
      </c>
      <c r="I133" t="n">
        <v>68</v>
      </c>
      <c r="J133" s="3" t="n">
        <v>1.0909</v>
      </c>
      <c r="K133" s="4" t="inlineStr">
        <is>
          <t>2026-12-01</t>
        </is>
      </c>
      <c r="L133" s="2" t="n">
        <v>40</v>
      </c>
      <c r="M133" s="2" t="n">
        <v>30</v>
      </c>
      <c r="N133" s="3" t="n">
        <v>0.03</v>
      </c>
      <c r="O133" t="inlineStr">
        <is>
          <t>Tier-3</t>
        </is>
      </c>
      <c r="P133">
        <f>E133-D133</f>
        <v/>
      </c>
      <c r="Q133" s="3">
        <f>IF(D133=0,0,E133/D133-1)</f>
        <v/>
      </c>
      <c r="R133" s="2">
        <f>E133*F133</f>
        <v/>
      </c>
      <c r="S133" s="2">
        <f>H133*(F133*1.5/8)</f>
        <v/>
      </c>
      <c r="T133" s="2">
        <f>R133+S133+L133+M133</f>
        <v/>
      </c>
      <c r="U133">
        <f>IF(G133=0,0,E133/G133)</f>
        <v/>
      </c>
      <c r="V133">
        <f>IF(I133&gt;=95,"A",IF(I133&gt;=85,"B",IF(I133&gt;=75,"C","D")))</f>
        <v/>
      </c>
      <c r="W133">
        <f>ROUND((J133*35)+(I133*0.25)+(U133*0.2)+(IF(Q133&gt;0,100,MAX(0,100+Q133*100))*0.2),2)</f>
        <v/>
      </c>
      <c r="X133" s="2">
        <f>ROUND(T133*N133*IF(V133="A",1.25,IF(V133="B",1.1,IF(V133="C",0.9,0.5))),2)</f>
        <v/>
      </c>
      <c r="Y133">
        <f>IF(OR(I133&lt;80,J133&lt;0.75,E133&lt;D133*0.85),"HIGH",IF(OR(I133&lt;90,J133&lt;0.9),"MEDIUM","LOW"))</f>
        <v/>
      </c>
      <c r="Z133" s="2">
        <f>ROUND(E133*INDEX(Rules!$B$2:$B$6,MATCH(O133,Rules!$A$2:$A$6,0))*INDEX(Rules!$C$2:$C$5,MATCH(V133,Rules!$D$2:$D$5,0)),2)</f>
        <v/>
      </c>
      <c r="AA133" s="2">
        <f>Z133-T133-X133</f>
        <v/>
      </c>
      <c r="AB133" s="3">
        <f>IF(Z133=0,0,AA133/Z133)</f>
        <v/>
      </c>
      <c r="AC133">
        <f>UPPER(LEFT(A133,3)&amp;"-"&amp;LEFT(B133,3)&amp;"-"&amp;TEXT(ROW()-1,"000"))</f>
        <v/>
      </c>
      <c r="AD133">
        <f>INDEX(Rules!$E$2:$E$6,MATCH(O133,Rules!$A$2:$A$6,0))</f>
        <v/>
      </c>
      <c r="AE133" s="2">
        <f>ROUND(AA133*AD133,2)</f>
        <v/>
      </c>
      <c r="AF133">
        <f>RANK(W133,$W$2:$W$181,0)</f>
        <v/>
      </c>
      <c r="AG133">
        <f>IF(AND(AB133&gt;0.18,Y133="LOW"),"PASS",IF(AB133&gt;0.08,"WATCH","FAIL"))</f>
        <v/>
      </c>
      <c r="AH133">
        <f>IFERROR(IF(VLOOKUP(A133,Rules!$G$2:$H$13,2,FALSE)="Priority","Priority Region","Standard Region"),"Standard Region")</f>
        <v/>
      </c>
      <c r="AI133">
        <f>ROUND(SUMPRODUCT(E133:J133,{0.08,0.08,0.15,0.1,0.25,0.34}),2)</f>
        <v/>
      </c>
      <c r="AJ133" s="2">
        <f>ROUND(AE133*INDEX(Rules!$J$2:$J$5,MATCH(MONTH(K133),Rules!$I$2:$I$5,1)),2)</f>
        <v/>
      </c>
    </row>
    <row r="134">
      <c r="A134" t="inlineStr">
        <is>
          <t>Samarkand</t>
        </is>
      </c>
      <c r="B134" t="inlineStr">
        <is>
          <t>Industrial-2</t>
        </is>
      </c>
      <c r="C134" t="inlineStr">
        <is>
          <t>Nilufar Tursunova</t>
        </is>
      </c>
      <c r="D134" t="n">
        <v>161</v>
      </c>
      <c r="E134" t="n">
        <v>182</v>
      </c>
      <c r="F134" s="2" t="n">
        <v>178</v>
      </c>
      <c r="G134" t="n">
        <v>25</v>
      </c>
      <c r="H134" t="n">
        <v>3</v>
      </c>
      <c r="I134" t="n">
        <v>73</v>
      </c>
      <c r="J134" s="3" t="n">
        <v>1.1304</v>
      </c>
      <c r="K134" s="4" t="inlineStr">
        <is>
          <t>2026-01-01</t>
        </is>
      </c>
      <c r="L134" s="2" t="n">
        <v>48</v>
      </c>
      <c r="M134" s="2" t="n">
        <v>35</v>
      </c>
      <c r="N134" s="3" t="n">
        <v>0.0425</v>
      </c>
      <c r="O134" t="inlineStr">
        <is>
          <t>Tier-4</t>
        </is>
      </c>
      <c r="P134">
        <f>E134-D134</f>
        <v/>
      </c>
      <c r="Q134" s="3">
        <f>IF(D134=0,0,E134/D134-1)</f>
        <v/>
      </c>
      <c r="R134" s="2">
        <f>E134*F134</f>
        <v/>
      </c>
      <c r="S134" s="2">
        <f>H134*(F134*1.5/8)</f>
        <v/>
      </c>
      <c r="T134" s="2">
        <f>R134+S134+L134+M134</f>
        <v/>
      </c>
      <c r="U134">
        <f>IF(G134=0,0,E134/G134)</f>
        <v/>
      </c>
      <c r="V134">
        <f>IF(I134&gt;=95,"A",IF(I134&gt;=85,"B",IF(I134&gt;=75,"C","D")))</f>
        <v/>
      </c>
      <c r="W134">
        <f>ROUND((J134*35)+(I134*0.25)+(U134*0.2)+(IF(Q134&gt;0,100,MAX(0,100+Q134*100))*0.2),2)</f>
        <v/>
      </c>
      <c r="X134" s="2">
        <f>ROUND(T134*N134*IF(V134="A",1.25,IF(V134="B",1.1,IF(V134="C",0.9,0.5))),2)</f>
        <v/>
      </c>
      <c r="Y134">
        <f>IF(OR(I134&lt;80,J134&lt;0.75,E134&lt;D134*0.85),"HIGH",IF(OR(I134&lt;90,J134&lt;0.9),"MEDIUM","LOW"))</f>
        <v/>
      </c>
      <c r="Z134" s="2">
        <f>ROUND(E134*INDEX(Rules!$B$2:$B$6,MATCH(O134,Rules!$A$2:$A$6,0))*INDEX(Rules!$C$2:$C$5,MATCH(V134,Rules!$D$2:$D$5,0)),2)</f>
        <v/>
      </c>
      <c r="AA134" s="2">
        <f>Z134-T134-X134</f>
        <v/>
      </c>
      <c r="AB134" s="3">
        <f>IF(Z134=0,0,AA134/Z134)</f>
        <v/>
      </c>
      <c r="AC134">
        <f>UPPER(LEFT(A134,3)&amp;"-"&amp;LEFT(B134,3)&amp;"-"&amp;TEXT(ROW()-1,"000"))</f>
        <v/>
      </c>
      <c r="AD134">
        <f>INDEX(Rules!$E$2:$E$6,MATCH(O134,Rules!$A$2:$A$6,0))</f>
        <v/>
      </c>
      <c r="AE134" s="2">
        <f>ROUND(AA134*AD134,2)</f>
        <v/>
      </c>
      <c r="AF134">
        <f>RANK(W134,$W$2:$W$181,0)</f>
        <v/>
      </c>
      <c r="AG134">
        <f>IF(AND(AB134&gt;0.18,Y134="LOW"),"PASS",IF(AB134&gt;0.08,"WATCH","FAIL"))</f>
        <v/>
      </c>
      <c r="AH134">
        <f>IFERROR(IF(VLOOKUP(A134,Rules!$G$2:$H$13,2,FALSE)="Priority","Priority Region","Standard Region"),"Standard Region")</f>
        <v/>
      </c>
      <c r="AI134">
        <f>ROUND(SUMPRODUCT(E134:J134,{0.08,0.08,0.15,0.1,0.25,0.34}),2)</f>
        <v/>
      </c>
      <c r="AJ134" s="2">
        <f>ROUND(AE134*INDEX(Rules!$J$2:$J$5,MATCH(MONTH(K134),Rules!$I$2:$I$5,1)),2)</f>
        <v/>
      </c>
    </row>
    <row r="135">
      <c r="A135" t="inlineStr">
        <is>
          <t>Bukhara</t>
        </is>
      </c>
      <c r="B135" t="inlineStr">
        <is>
          <t>Rural-3</t>
        </is>
      </c>
      <c r="C135" t="inlineStr">
        <is>
          <t>Sardor Jabborov</t>
        </is>
      </c>
      <c r="D135" t="n">
        <v>168</v>
      </c>
      <c r="E135" t="n">
        <v>196</v>
      </c>
      <c r="F135" s="2" t="n">
        <v>187</v>
      </c>
      <c r="G135" t="n">
        <v>26</v>
      </c>
      <c r="H135" t="n">
        <v>6</v>
      </c>
      <c r="I135" t="n">
        <v>78</v>
      </c>
      <c r="J135" s="3" t="n">
        <v>1.1667</v>
      </c>
      <c r="K135" s="4" t="inlineStr">
        <is>
          <t>2026-02-01</t>
        </is>
      </c>
      <c r="L135" s="2" t="n">
        <v>56</v>
      </c>
      <c r="M135" s="2" t="n">
        <v>40</v>
      </c>
      <c r="N135" s="3" t="n">
        <v>0.055</v>
      </c>
      <c r="O135" t="inlineStr">
        <is>
          <t>Tier-5</t>
        </is>
      </c>
      <c r="P135">
        <f>E135-D135</f>
        <v/>
      </c>
      <c r="Q135" s="3">
        <f>IF(D135=0,0,E135/D135-1)</f>
        <v/>
      </c>
      <c r="R135" s="2">
        <f>E135*F135</f>
        <v/>
      </c>
      <c r="S135" s="2">
        <f>H135*(F135*1.5/8)</f>
        <v/>
      </c>
      <c r="T135" s="2">
        <f>R135+S135+L135+M135</f>
        <v/>
      </c>
      <c r="U135">
        <f>IF(G135=0,0,E135/G135)</f>
        <v/>
      </c>
      <c r="V135">
        <f>IF(I135&gt;=95,"A",IF(I135&gt;=85,"B",IF(I135&gt;=75,"C","D")))</f>
        <v/>
      </c>
      <c r="W135">
        <f>ROUND((J135*35)+(I135*0.25)+(U135*0.2)+(IF(Q135&gt;0,100,MAX(0,100+Q135*100))*0.2),2)</f>
        <v/>
      </c>
      <c r="X135" s="2">
        <f>ROUND(T135*N135*IF(V135="A",1.25,IF(V135="B",1.1,IF(V135="C",0.9,0.5))),2)</f>
        <v/>
      </c>
      <c r="Y135">
        <f>IF(OR(I135&lt;80,J135&lt;0.75,E135&lt;D135*0.85),"HIGH",IF(OR(I135&lt;90,J135&lt;0.9),"MEDIUM","LOW"))</f>
        <v/>
      </c>
      <c r="Z135" s="2">
        <f>ROUND(E135*INDEX(Rules!$B$2:$B$6,MATCH(O135,Rules!$A$2:$A$6,0))*INDEX(Rules!$C$2:$C$5,MATCH(V135,Rules!$D$2:$D$5,0)),2)</f>
        <v/>
      </c>
      <c r="AA135" s="2">
        <f>Z135-T135-X135</f>
        <v/>
      </c>
      <c r="AB135" s="3">
        <f>IF(Z135=0,0,AA135/Z135)</f>
        <v/>
      </c>
      <c r="AC135">
        <f>UPPER(LEFT(A135,3)&amp;"-"&amp;LEFT(B135,3)&amp;"-"&amp;TEXT(ROW()-1,"000"))</f>
        <v/>
      </c>
      <c r="AD135">
        <f>INDEX(Rules!$E$2:$E$6,MATCH(O135,Rules!$A$2:$A$6,0))</f>
        <v/>
      </c>
      <c r="AE135" s="2">
        <f>ROUND(AA135*AD135,2)</f>
        <v/>
      </c>
      <c r="AF135">
        <f>RANK(W135,$W$2:$W$181,0)</f>
        <v/>
      </c>
      <c r="AG135">
        <f>IF(AND(AB135&gt;0.18,Y135="LOW"),"PASS",IF(AB135&gt;0.08,"WATCH","FAIL"))</f>
        <v/>
      </c>
      <c r="AH135">
        <f>IFERROR(IF(VLOOKUP(A135,Rules!$G$2:$H$13,2,FALSE)="Priority","Priority Region","Standard Region"),"Standard Region")</f>
        <v/>
      </c>
      <c r="AI135">
        <f>ROUND(SUMPRODUCT(E135:J135,{0.08,0.08,0.15,0.1,0.25,0.34}),2)</f>
        <v/>
      </c>
      <c r="AJ135" s="2">
        <f>ROUND(AE135*INDEX(Rules!$J$2:$J$5,MATCH(MONTH(K135),Rules!$I$2:$I$5,1)),2)</f>
        <v/>
      </c>
    </row>
    <row r="136">
      <c r="A136" t="inlineStr">
        <is>
          <t>Andijan</t>
        </is>
      </c>
      <c r="B136" t="inlineStr">
        <is>
          <t>Urban-4</t>
        </is>
      </c>
      <c r="C136" t="inlineStr">
        <is>
          <t>Kamola Rahimova</t>
        </is>
      </c>
      <c r="D136" t="n">
        <v>175</v>
      </c>
      <c r="E136" t="n">
        <v>151</v>
      </c>
      <c r="F136" s="2" t="n">
        <v>196</v>
      </c>
      <c r="G136" t="n">
        <v>18</v>
      </c>
      <c r="H136" t="n">
        <v>9</v>
      </c>
      <c r="I136" t="n">
        <v>83</v>
      </c>
      <c r="J136" s="3" t="n">
        <v>0.8629</v>
      </c>
      <c r="K136" s="4" t="inlineStr">
        <is>
          <t>2026-03-01</t>
        </is>
      </c>
      <c r="L136" s="2" t="n">
        <v>64</v>
      </c>
      <c r="M136" s="2" t="n">
        <v>45</v>
      </c>
      <c r="N136" s="3" t="n">
        <v>0.0675</v>
      </c>
      <c r="O136" t="inlineStr">
        <is>
          <t>Tier-1</t>
        </is>
      </c>
      <c r="P136">
        <f>E136-D136</f>
        <v/>
      </c>
      <c r="Q136" s="3">
        <f>IF(D136=0,0,E136/D136-1)</f>
        <v/>
      </c>
      <c r="R136" s="2">
        <f>E136*F136</f>
        <v/>
      </c>
      <c r="S136" s="2">
        <f>H136*(F136*1.5/8)</f>
        <v/>
      </c>
      <c r="T136" s="2">
        <f>R136+S136+L136+M136</f>
        <v/>
      </c>
      <c r="U136">
        <f>IF(G136=0,0,E136/G136)</f>
        <v/>
      </c>
      <c r="V136">
        <f>IF(I136&gt;=95,"A",IF(I136&gt;=85,"B",IF(I136&gt;=75,"C","D")))</f>
        <v/>
      </c>
      <c r="W136">
        <f>ROUND((J136*35)+(I136*0.25)+(U136*0.2)+(IF(Q136&gt;0,100,MAX(0,100+Q136*100))*0.2),2)</f>
        <v/>
      </c>
      <c r="X136" s="2">
        <f>ROUND(T136*N136*IF(V136="A",1.25,IF(V136="B",1.1,IF(V136="C",0.9,0.5))),2)</f>
        <v/>
      </c>
      <c r="Y136">
        <f>IF(OR(I136&lt;80,J136&lt;0.75,E136&lt;D136*0.85),"HIGH",IF(OR(I136&lt;90,J136&lt;0.9),"MEDIUM","LOW"))</f>
        <v/>
      </c>
      <c r="Z136" s="2">
        <f>ROUND(E136*INDEX(Rules!$B$2:$B$6,MATCH(O136,Rules!$A$2:$A$6,0))*INDEX(Rules!$C$2:$C$5,MATCH(V136,Rules!$D$2:$D$5,0)),2)</f>
        <v/>
      </c>
      <c r="AA136" s="2">
        <f>Z136-T136-X136</f>
        <v/>
      </c>
      <c r="AB136" s="3">
        <f>IF(Z136=0,0,AA136/Z136)</f>
        <v/>
      </c>
      <c r="AC136">
        <f>UPPER(LEFT(A136,3)&amp;"-"&amp;LEFT(B136,3)&amp;"-"&amp;TEXT(ROW()-1,"000"))</f>
        <v/>
      </c>
      <c r="AD136">
        <f>INDEX(Rules!$E$2:$E$6,MATCH(O136,Rules!$A$2:$A$6,0))</f>
        <v/>
      </c>
      <c r="AE136" s="2">
        <f>ROUND(AA136*AD136,2)</f>
        <v/>
      </c>
      <c r="AF136">
        <f>RANK(W136,$W$2:$W$181,0)</f>
        <v/>
      </c>
      <c r="AG136">
        <f>IF(AND(AB136&gt;0.18,Y136="LOW"),"PASS",IF(AB136&gt;0.08,"WATCH","FAIL"))</f>
        <v/>
      </c>
      <c r="AH136">
        <f>IFERROR(IF(VLOOKUP(A136,Rules!$G$2:$H$13,2,FALSE)="Priority","Priority Region","Standard Region"),"Standard Region")</f>
        <v/>
      </c>
      <c r="AI136">
        <f>ROUND(SUMPRODUCT(E136:J136,{0.08,0.08,0.15,0.1,0.25,0.34}),2)</f>
        <v/>
      </c>
      <c r="AJ136" s="2">
        <f>ROUND(AE136*INDEX(Rules!$J$2:$J$5,MATCH(MONTH(K136),Rules!$I$2:$I$5,1)),2)</f>
        <v/>
      </c>
    </row>
    <row r="137">
      <c r="A137" t="inlineStr">
        <is>
          <t>Namangan</t>
        </is>
      </c>
      <c r="B137" t="inlineStr">
        <is>
          <t>Central-1</t>
        </is>
      </c>
      <c r="C137" t="inlineStr">
        <is>
          <t>Aziza Karimova</t>
        </is>
      </c>
      <c r="D137" t="n">
        <v>182</v>
      </c>
      <c r="E137" t="n">
        <v>165</v>
      </c>
      <c r="F137" s="2" t="n">
        <v>205</v>
      </c>
      <c r="G137" t="n">
        <v>19</v>
      </c>
      <c r="H137" t="n">
        <v>12</v>
      </c>
      <c r="I137" t="n">
        <v>88</v>
      </c>
      <c r="J137" s="3" t="n">
        <v>0.9066</v>
      </c>
      <c r="K137" s="4" t="inlineStr">
        <is>
          <t>2026-04-01</t>
        </is>
      </c>
      <c r="L137" s="2" t="n">
        <v>72</v>
      </c>
      <c r="M137" s="2" t="n">
        <v>50</v>
      </c>
      <c r="N137" s="3" t="n">
        <v>0.08</v>
      </c>
      <c r="O137" t="inlineStr">
        <is>
          <t>Tier-2</t>
        </is>
      </c>
      <c r="P137">
        <f>E137-D137</f>
        <v/>
      </c>
      <c r="Q137" s="3">
        <f>IF(D137=0,0,E137/D137-1)</f>
        <v/>
      </c>
      <c r="R137" s="2">
        <f>E137*F137</f>
        <v/>
      </c>
      <c r="S137" s="2">
        <f>H137*(F137*1.5/8)</f>
        <v/>
      </c>
      <c r="T137" s="2">
        <f>R137+S137+L137+M137</f>
        <v/>
      </c>
      <c r="U137">
        <f>IF(G137=0,0,E137/G137)</f>
        <v/>
      </c>
      <c r="V137">
        <f>IF(I137&gt;=95,"A",IF(I137&gt;=85,"B",IF(I137&gt;=75,"C","D")))</f>
        <v/>
      </c>
      <c r="W137">
        <f>ROUND((J137*35)+(I137*0.25)+(U137*0.2)+(IF(Q137&gt;0,100,MAX(0,100+Q137*100))*0.2),2)</f>
        <v/>
      </c>
      <c r="X137" s="2">
        <f>ROUND(T137*N137*IF(V137="A",1.25,IF(V137="B",1.1,IF(V137="C",0.9,0.5))),2)</f>
        <v/>
      </c>
      <c r="Y137">
        <f>IF(OR(I137&lt;80,J137&lt;0.75,E137&lt;D137*0.85),"HIGH",IF(OR(I137&lt;90,J137&lt;0.9),"MEDIUM","LOW"))</f>
        <v/>
      </c>
      <c r="Z137" s="2">
        <f>ROUND(E137*INDEX(Rules!$B$2:$B$6,MATCH(O137,Rules!$A$2:$A$6,0))*INDEX(Rules!$C$2:$C$5,MATCH(V137,Rules!$D$2:$D$5,0)),2)</f>
        <v/>
      </c>
      <c r="AA137" s="2">
        <f>Z137-T137-X137</f>
        <v/>
      </c>
      <c r="AB137" s="3">
        <f>IF(Z137=0,0,AA137/Z137)</f>
        <v/>
      </c>
      <c r="AC137">
        <f>UPPER(LEFT(A137,3)&amp;"-"&amp;LEFT(B137,3)&amp;"-"&amp;TEXT(ROW()-1,"000"))</f>
        <v/>
      </c>
      <c r="AD137">
        <f>INDEX(Rules!$E$2:$E$6,MATCH(O137,Rules!$A$2:$A$6,0))</f>
        <v/>
      </c>
      <c r="AE137" s="2">
        <f>ROUND(AA137*AD137,2)</f>
        <v/>
      </c>
      <c r="AF137">
        <f>RANK(W137,$W$2:$W$181,0)</f>
        <v/>
      </c>
      <c r="AG137">
        <f>IF(AND(AB137&gt;0.18,Y137="LOW"),"PASS",IF(AB137&gt;0.08,"WATCH","FAIL"))</f>
        <v/>
      </c>
      <c r="AH137">
        <f>IFERROR(IF(VLOOKUP(A137,Rules!$G$2:$H$13,2,FALSE)="Priority","Priority Region","Standard Region"),"Standard Region")</f>
        <v/>
      </c>
      <c r="AI137">
        <f>ROUND(SUMPRODUCT(E137:J137,{0.08,0.08,0.15,0.1,0.25,0.34}),2)</f>
        <v/>
      </c>
      <c r="AJ137" s="2">
        <f>ROUND(AE137*INDEX(Rules!$J$2:$J$5,MATCH(MONTH(K137),Rules!$I$2:$I$5,1)),2)</f>
        <v/>
      </c>
    </row>
    <row r="138">
      <c r="A138" t="inlineStr">
        <is>
          <t>Fergana</t>
        </is>
      </c>
      <c r="B138" t="inlineStr">
        <is>
          <t>North-2</t>
        </is>
      </c>
      <c r="C138" t="inlineStr">
        <is>
          <t>Bekzod Aliyev</t>
        </is>
      </c>
      <c r="D138" t="n">
        <v>189</v>
      </c>
      <c r="E138" t="n">
        <v>179</v>
      </c>
      <c r="F138" s="2" t="n">
        <v>214</v>
      </c>
      <c r="G138" t="n">
        <v>20</v>
      </c>
      <c r="H138" t="n">
        <v>15</v>
      </c>
      <c r="I138" t="n">
        <v>93</v>
      </c>
      <c r="J138" s="3" t="n">
        <v>0.9471000000000001</v>
      </c>
      <c r="K138" s="4" t="inlineStr">
        <is>
          <t>2026-05-01</t>
        </is>
      </c>
      <c r="L138" s="2" t="n">
        <v>80</v>
      </c>
      <c r="M138" s="2" t="n">
        <v>55</v>
      </c>
      <c r="N138" s="3" t="n">
        <v>0.0925</v>
      </c>
      <c r="O138" t="inlineStr">
        <is>
          <t>Tier-3</t>
        </is>
      </c>
      <c r="P138">
        <f>E138-D138</f>
        <v/>
      </c>
      <c r="Q138" s="3">
        <f>IF(D138=0,0,E138/D138-1)</f>
        <v/>
      </c>
      <c r="R138" s="2">
        <f>E138*F138</f>
        <v/>
      </c>
      <c r="S138" s="2">
        <f>H138*(F138*1.5/8)</f>
        <v/>
      </c>
      <c r="T138" s="2">
        <f>R138+S138+L138+M138</f>
        <v/>
      </c>
      <c r="U138">
        <f>IF(G138=0,0,E138/G138)</f>
        <v/>
      </c>
      <c r="V138">
        <f>IF(I138&gt;=95,"A",IF(I138&gt;=85,"B",IF(I138&gt;=75,"C","D")))</f>
        <v/>
      </c>
      <c r="W138">
        <f>ROUND((J138*35)+(I138*0.25)+(U138*0.2)+(IF(Q138&gt;0,100,MAX(0,100+Q138*100))*0.2),2)</f>
        <v/>
      </c>
      <c r="X138" s="2">
        <f>ROUND(T138*N138*IF(V138="A",1.25,IF(V138="B",1.1,IF(V138="C",0.9,0.5))),2)</f>
        <v/>
      </c>
      <c r="Y138">
        <f>IF(OR(I138&lt;80,J138&lt;0.75,E138&lt;D138*0.85),"HIGH",IF(OR(I138&lt;90,J138&lt;0.9),"MEDIUM","LOW"))</f>
        <v/>
      </c>
      <c r="Z138" s="2">
        <f>ROUND(E138*INDEX(Rules!$B$2:$B$6,MATCH(O138,Rules!$A$2:$A$6,0))*INDEX(Rules!$C$2:$C$5,MATCH(V138,Rules!$D$2:$D$5,0)),2)</f>
        <v/>
      </c>
      <c r="AA138" s="2">
        <f>Z138-T138-X138</f>
        <v/>
      </c>
      <c r="AB138" s="3">
        <f>IF(Z138=0,0,AA138/Z138)</f>
        <v/>
      </c>
      <c r="AC138">
        <f>UPPER(LEFT(A138,3)&amp;"-"&amp;LEFT(B138,3)&amp;"-"&amp;TEXT(ROW()-1,"000"))</f>
        <v/>
      </c>
      <c r="AD138">
        <f>INDEX(Rules!$E$2:$E$6,MATCH(O138,Rules!$A$2:$A$6,0))</f>
        <v/>
      </c>
      <c r="AE138" s="2">
        <f>ROUND(AA138*AD138,2)</f>
        <v/>
      </c>
      <c r="AF138">
        <f>RANK(W138,$W$2:$W$181,0)</f>
        <v/>
      </c>
      <c r="AG138">
        <f>IF(AND(AB138&gt;0.18,Y138="LOW"),"PASS",IF(AB138&gt;0.08,"WATCH","FAIL"))</f>
        <v/>
      </c>
      <c r="AH138">
        <f>IFERROR(IF(VLOOKUP(A138,Rules!$G$2:$H$13,2,FALSE)="Priority","Priority Region","Standard Region"),"Standard Region")</f>
        <v/>
      </c>
      <c r="AI138">
        <f>ROUND(SUMPRODUCT(E138:J138,{0.08,0.08,0.15,0.1,0.25,0.34}),2)</f>
        <v/>
      </c>
      <c r="AJ138" s="2">
        <f>ROUND(AE138*INDEX(Rules!$J$2:$J$5,MATCH(MONTH(K138),Rules!$I$2:$I$5,1)),2)</f>
        <v/>
      </c>
    </row>
    <row r="139">
      <c r="A139" t="inlineStr">
        <is>
          <t>Kashkadarya</t>
        </is>
      </c>
      <c r="B139" t="inlineStr">
        <is>
          <t>South-3</t>
        </is>
      </c>
      <c r="C139" t="inlineStr">
        <is>
          <t>Dilshod Rustamov</t>
        </is>
      </c>
      <c r="D139" t="n">
        <v>196</v>
      </c>
      <c r="E139" t="n">
        <v>193</v>
      </c>
      <c r="F139" s="2" t="n">
        <v>223</v>
      </c>
      <c r="G139" t="n">
        <v>21</v>
      </c>
      <c r="H139" t="n">
        <v>18</v>
      </c>
      <c r="I139" t="n">
        <v>98</v>
      </c>
      <c r="J139" s="3" t="n">
        <v>0.9847</v>
      </c>
      <c r="K139" s="4" t="inlineStr">
        <is>
          <t>2026-06-01</t>
        </is>
      </c>
      <c r="L139" s="2" t="n">
        <v>88</v>
      </c>
      <c r="M139" s="2" t="n">
        <v>60</v>
      </c>
      <c r="N139" s="3" t="n">
        <v>0.03</v>
      </c>
      <c r="O139" t="inlineStr">
        <is>
          <t>Tier-4</t>
        </is>
      </c>
      <c r="P139">
        <f>E139-D139</f>
        <v/>
      </c>
      <c r="Q139" s="3">
        <f>IF(D139=0,0,E139/D139-1)</f>
        <v/>
      </c>
      <c r="R139" s="2">
        <f>E139*F139</f>
        <v/>
      </c>
      <c r="S139" s="2">
        <f>H139*(F139*1.5/8)</f>
        <v/>
      </c>
      <c r="T139" s="2">
        <f>R139+S139+L139+M139</f>
        <v/>
      </c>
      <c r="U139">
        <f>IF(G139=0,0,E139/G139)</f>
        <v/>
      </c>
      <c r="V139">
        <f>IF(I139&gt;=95,"A",IF(I139&gt;=85,"B",IF(I139&gt;=75,"C","D")))</f>
        <v/>
      </c>
      <c r="W139">
        <f>ROUND((J139*35)+(I139*0.25)+(U139*0.2)+(IF(Q139&gt;0,100,MAX(0,100+Q139*100))*0.2),2)</f>
        <v/>
      </c>
      <c r="X139" s="2">
        <f>ROUND(T139*N139*IF(V139="A",1.25,IF(V139="B",1.1,IF(V139="C",0.9,0.5))),2)</f>
        <v/>
      </c>
      <c r="Y139">
        <f>IF(OR(I139&lt;80,J139&lt;0.75,E139&lt;D139*0.85),"HIGH",IF(OR(I139&lt;90,J139&lt;0.9),"MEDIUM","LOW"))</f>
        <v/>
      </c>
      <c r="Z139" s="2">
        <f>ROUND(E139*INDEX(Rules!$B$2:$B$6,MATCH(O139,Rules!$A$2:$A$6,0))*INDEX(Rules!$C$2:$C$5,MATCH(V139,Rules!$D$2:$D$5,0)),2)</f>
        <v/>
      </c>
      <c r="AA139" s="2">
        <f>Z139-T139-X139</f>
        <v/>
      </c>
      <c r="AB139" s="3">
        <f>IF(Z139=0,0,AA139/Z139)</f>
        <v/>
      </c>
      <c r="AC139">
        <f>UPPER(LEFT(A139,3)&amp;"-"&amp;LEFT(B139,3)&amp;"-"&amp;TEXT(ROW()-1,"000"))</f>
        <v/>
      </c>
      <c r="AD139">
        <f>INDEX(Rules!$E$2:$E$6,MATCH(O139,Rules!$A$2:$A$6,0))</f>
        <v/>
      </c>
      <c r="AE139" s="2">
        <f>ROUND(AA139*AD139,2)</f>
        <v/>
      </c>
      <c r="AF139">
        <f>RANK(W139,$W$2:$W$181,0)</f>
        <v/>
      </c>
      <c r="AG139">
        <f>IF(AND(AB139&gt;0.18,Y139="LOW"),"PASS",IF(AB139&gt;0.08,"WATCH","FAIL"))</f>
        <v/>
      </c>
      <c r="AH139">
        <f>IFERROR(IF(VLOOKUP(A139,Rules!$G$2:$H$13,2,FALSE)="Priority","Priority Region","Standard Region"),"Standard Region")</f>
        <v/>
      </c>
      <c r="AI139">
        <f>ROUND(SUMPRODUCT(E139:J139,{0.08,0.08,0.15,0.1,0.25,0.34}),2)</f>
        <v/>
      </c>
      <c r="AJ139" s="2">
        <f>ROUND(AE139*INDEX(Rules!$J$2:$J$5,MATCH(MONTH(K139),Rules!$I$2:$I$5,1)),2)</f>
        <v/>
      </c>
    </row>
    <row r="140">
      <c r="A140" t="inlineStr">
        <is>
          <t>Surkhandarya</t>
        </is>
      </c>
      <c r="B140" t="inlineStr">
        <is>
          <t>East-4</t>
        </is>
      </c>
      <c r="C140" t="inlineStr">
        <is>
          <t>Malika Ergasheva</t>
        </is>
      </c>
      <c r="D140" t="n">
        <v>203</v>
      </c>
      <c r="E140" t="n">
        <v>207</v>
      </c>
      <c r="F140" s="2" t="n">
        <v>232</v>
      </c>
      <c r="G140" t="n">
        <v>22</v>
      </c>
      <c r="H140" t="n">
        <v>21</v>
      </c>
      <c r="I140" t="n">
        <v>70</v>
      </c>
      <c r="J140" s="3" t="n">
        <v>1.0197</v>
      </c>
      <c r="K140" s="4" t="inlineStr">
        <is>
          <t>2026-07-01</t>
        </is>
      </c>
      <c r="L140" s="2" t="n">
        <v>96</v>
      </c>
      <c r="M140" s="2" t="n">
        <v>65</v>
      </c>
      <c r="N140" s="3" t="n">
        <v>0.0425</v>
      </c>
      <c r="O140" t="inlineStr">
        <is>
          <t>Tier-5</t>
        </is>
      </c>
      <c r="P140">
        <f>E140-D140</f>
        <v/>
      </c>
      <c r="Q140" s="3">
        <f>IF(D140=0,0,E140/D140-1)</f>
        <v/>
      </c>
      <c r="R140" s="2">
        <f>E140*F140</f>
        <v/>
      </c>
      <c r="S140" s="2">
        <f>H140*(F140*1.5/8)</f>
        <v/>
      </c>
      <c r="T140" s="2">
        <f>R140+S140+L140+M140</f>
        <v/>
      </c>
      <c r="U140">
        <f>IF(G140=0,0,E140/G140)</f>
        <v/>
      </c>
      <c r="V140">
        <f>IF(I140&gt;=95,"A",IF(I140&gt;=85,"B",IF(I140&gt;=75,"C","D")))</f>
        <v/>
      </c>
      <c r="W140">
        <f>ROUND((J140*35)+(I140*0.25)+(U140*0.2)+(IF(Q140&gt;0,100,MAX(0,100+Q140*100))*0.2),2)</f>
        <v/>
      </c>
      <c r="X140" s="2">
        <f>ROUND(T140*N140*IF(V140="A",1.25,IF(V140="B",1.1,IF(V140="C",0.9,0.5))),2)</f>
        <v/>
      </c>
      <c r="Y140">
        <f>IF(OR(I140&lt;80,J140&lt;0.75,E140&lt;D140*0.85),"HIGH",IF(OR(I140&lt;90,J140&lt;0.9),"MEDIUM","LOW"))</f>
        <v/>
      </c>
      <c r="Z140" s="2">
        <f>ROUND(E140*INDEX(Rules!$B$2:$B$6,MATCH(O140,Rules!$A$2:$A$6,0))*INDEX(Rules!$C$2:$C$5,MATCH(V140,Rules!$D$2:$D$5,0)),2)</f>
        <v/>
      </c>
      <c r="AA140" s="2">
        <f>Z140-T140-X140</f>
        <v/>
      </c>
      <c r="AB140" s="3">
        <f>IF(Z140=0,0,AA140/Z140)</f>
        <v/>
      </c>
      <c r="AC140">
        <f>UPPER(LEFT(A140,3)&amp;"-"&amp;LEFT(B140,3)&amp;"-"&amp;TEXT(ROW()-1,"000"))</f>
        <v/>
      </c>
      <c r="AD140">
        <f>INDEX(Rules!$E$2:$E$6,MATCH(O140,Rules!$A$2:$A$6,0))</f>
        <v/>
      </c>
      <c r="AE140" s="2">
        <f>ROUND(AA140*AD140,2)</f>
        <v/>
      </c>
      <c r="AF140">
        <f>RANK(W140,$W$2:$W$181,0)</f>
        <v/>
      </c>
      <c r="AG140">
        <f>IF(AND(AB140&gt;0.18,Y140="LOW"),"PASS",IF(AB140&gt;0.08,"WATCH","FAIL"))</f>
        <v/>
      </c>
      <c r="AH140">
        <f>IFERROR(IF(VLOOKUP(A140,Rules!$G$2:$H$13,2,FALSE)="Priority","Priority Region","Standard Region"),"Standard Region")</f>
        <v/>
      </c>
      <c r="AI140">
        <f>ROUND(SUMPRODUCT(E140:J140,{0.08,0.08,0.15,0.1,0.25,0.34}),2)</f>
        <v/>
      </c>
      <c r="AJ140" s="2">
        <f>ROUND(AE140*INDEX(Rules!$J$2:$J$5,MATCH(MONTH(K140),Rules!$I$2:$I$5,1)),2)</f>
        <v/>
      </c>
    </row>
    <row r="141">
      <c r="A141" t="inlineStr">
        <is>
          <t>Khorezm</t>
        </is>
      </c>
      <c r="B141" t="inlineStr">
        <is>
          <t>West-1</t>
        </is>
      </c>
      <c r="C141" t="inlineStr">
        <is>
          <t>Shahzod Islomov</t>
        </is>
      </c>
      <c r="D141" t="n">
        <v>210</v>
      </c>
      <c r="E141" t="n">
        <v>216</v>
      </c>
      <c r="F141" s="2" t="n">
        <v>115</v>
      </c>
      <c r="G141" t="n">
        <v>23</v>
      </c>
      <c r="H141" t="n">
        <v>2</v>
      </c>
      <c r="I141" t="n">
        <v>75</v>
      </c>
      <c r="J141" s="3" t="n">
        <v>1.0286</v>
      </c>
      <c r="K141" s="4" t="inlineStr">
        <is>
          <t>2026-08-01</t>
        </is>
      </c>
      <c r="L141" s="2" t="n">
        <v>104</v>
      </c>
      <c r="M141" s="2" t="n">
        <v>20</v>
      </c>
      <c r="N141" s="3" t="n">
        <v>0.055</v>
      </c>
      <c r="O141" t="inlineStr">
        <is>
          <t>Tier-1</t>
        </is>
      </c>
      <c r="P141">
        <f>E141-D141</f>
        <v/>
      </c>
      <c r="Q141" s="3">
        <f>IF(D141=0,0,E141/D141-1)</f>
        <v/>
      </c>
      <c r="R141" s="2">
        <f>E141*F141</f>
        <v/>
      </c>
      <c r="S141" s="2">
        <f>H141*(F141*1.5/8)</f>
        <v/>
      </c>
      <c r="T141" s="2">
        <f>R141+S141+L141+M141</f>
        <v/>
      </c>
      <c r="U141">
        <f>IF(G141=0,0,E141/G141)</f>
        <v/>
      </c>
      <c r="V141">
        <f>IF(I141&gt;=95,"A",IF(I141&gt;=85,"B",IF(I141&gt;=75,"C","D")))</f>
        <v/>
      </c>
      <c r="W141">
        <f>ROUND((J141*35)+(I141*0.25)+(U141*0.2)+(IF(Q141&gt;0,100,MAX(0,100+Q141*100))*0.2),2)</f>
        <v/>
      </c>
      <c r="X141" s="2">
        <f>ROUND(T141*N141*IF(V141="A",1.25,IF(V141="B",1.1,IF(V141="C",0.9,0.5))),2)</f>
        <v/>
      </c>
      <c r="Y141">
        <f>IF(OR(I141&lt;80,J141&lt;0.75,E141&lt;D141*0.85),"HIGH",IF(OR(I141&lt;90,J141&lt;0.9),"MEDIUM","LOW"))</f>
        <v/>
      </c>
      <c r="Z141" s="2">
        <f>ROUND(E141*INDEX(Rules!$B$2:$B$6,MATCH(O141,Rules!$A$2:$A$6,0))*INDEX(Rules!$C$2:$C$5,MATCH(V141,Rules!$D$2:$D$5,0)),2)</f>
        <v/>
      </c>
      <c r="AA141" s="2">
        <f>Z141-T141-X141</f>
        <v/>
      </c>
      <c r="AB141" s="3">
        <f>IF(Z141=0,0,AA141/Z141)</f>
        <v/>
      </c>
      <c r="AC141">
        <f>UPPER(LEFT(A141,3)&amp;"-"&amp;LEFT(B141,3)&amp;"-"&amp;TEXT(ROW()-1,"000"))</f>
        <v/>
      </c>
      <c r="AD141">
        <f>INDEX(Rules!$E$2:$E$6,MATCH(O141,Rules!$A$2:$A$6,0))</f>
        <v/>
      </c>
      <c r="AE141" s="2">
        <f>ROUND(AA141*AD141,2)</f>
        <v/>
      </c>
      <c r="AF141">
        <f>RANK(W141,$W$2:$W$181,0)</f>
        <v/>
      </c>
      <c r="AG141">
        <f>IF(AND(AB141&gt;0.18,Y141="LOW"),"PASS",IF(AB141&gt;0.08,"WATCH","FAIL"))</f>
        <v/>
      </c>
      <c r="AH141">
        <f>IFERROR(IF(VLOOKUP(A141,Rules!$G$2:$H$13,2,FALSE)="Priority","Priority Region","Standard Region"),"Standard Region")</f>
        <v/>
      </c>
      <c r="AI141">
        <f>ROUND(SUMPRODUCT(E141:J141,{0.08,0.08,0.15,0.1,0.25,0.34}),2)</f>
        <v/>
      </c>
      <c r="AJ141" s="2">
        <f>ROUND(AE141*INDEX(Rules!$J$2:$J$5,MATCH(MONTH(K141),Rules!$I$2:$I$5,1)),2)</f>
        <v/>
      </c>
    </row>
    <row r="142">
      <c r="A142" t="inlineStr">
        <is>
          <t>Jizzakh</t>
        </is>
      </c>
      <c r="B142" t="inlineStr">
        <is>
          <t>Industrial-2</t>
        </is>
      </c>
      <c r="C142" t="inlineStr">
        <is>
          <t>Nilufar Tursunova</t>
        </is>
      </c>
      <c r="D142" t="n">
        <v>217</v>
      </c>
      <c r="E142" t="n">
        <v>230</v>
      </c>
      <c r="F142" s="2" t="n">
        <v>124</v>
      </c>
      <c r="G142" t="n">
        <v>24</v>
      </c>
      <c r="H142" t="n">
        <v>5</v>
      </c>
      <c r="I142" t="n">
        <v>80</v>
      </c>
      <c r="J142" s="3" t="n">
        <v>1.0599</v>
      </c>
      <c r="K142" s="4" t="inlineStr">
        <is>
          <t>2026-09-01</t>
        </is>
      </c>
      <c r="L142" s="2" t="n">
        <v>112</v>
      </c>
      <c r="M142" s="2" t="n">
        <v>25</v>
      </c>
      <c r="N142" s="3" t="n">
        <v>0.0675</v>
      </c>
      <c r="O142" t="inlineStr">
        <is>
          <t>Tier-2</t>
        </is>
      </c>
      <c r="P142">
        <f>E142-D142</f>
        <v/>
      </c>
      <c r="Q142" s="3">
        <f>IF(D142=0,0,E142/D142-1)</f>
        <v/>
      </c>
      <c r="R142" s="2">
        <f>E142*F142</f>
        <v/>
      </c>
      <c r="S142" s="2">
        <f>H142*(F142*1.5/8)</f>
        <v/>
      </c>
      <c r="T142" s="2">
        <f>R142+S142+L142+M142</f>
        <v/>
      </c>
      <c r="U142">
        <f>IF(G142=0,0,E142/G142)</f>
        <v/>
      </c>
      <c r="V142">
        <f>IF(I142&gt;=95,"A",IF(I142&gt;=85,"B",IF(I142&gt;=75,"C","D")))</f>
        <v/>
      </c>
      <c r="W142">
        <f>ROUND((J142*35)+(I142*0.25)+(U142*0.2)+(IF(Q142&gt;0,100,MAX(0,100+Q142*100))*0.2),2)</f>
        <v/>
      </c>
      <c r="X142" s="2">
        <f>ROUND(T142*N142*IF(V142="A",1.25,IF(V142="B",1.1,IF(V142="C",0.9,0.5))),2)</f>
        <v/>
      </c>
      <c r="Y142">
        <f>IF(OR(I142&lt;80,J142&lt;0.75,E142&lt;D142*0.85),"HIGH",IF(OR(I142&lt;90,J142&lt;0.9),"MEDIUM","LOW"))</f>
        <v/>
      </c>
      <c r="Z142" s="2">
        <f>ROUND(E142*INDEX(Rules!$B$2:$B$6,MATCH(O142,Rules!$A$2:$A$6,0))*INDEX(Rules!$C$2:$C$5,MATCH(V142,Rules!$D$2:$D$5,0)),2)</f>
        <v/>
      </c>
      <c r="AA142" s="2">
        <f>Z142-T142-X142</f>
        <v/>
      </c>
      <c r="AB142" s="3">
        <f>IF(Z142=0,0,AA142/Z142)</f>
        <v/>
      </c>
      <c r="AC142">
        <f>UPPER(LEFT(A142,3)&amp;"-"&amp;LEFT(B142,3)&amp;"-"&amp;TEXT(ROW()-1,"000"))</f>
        <v/>
      </c>
      <c r="AD142">
        <f>INDEX(Rules!$E$2:$E$6,MATCH(O142,Rules!$A$2:$A$6,0))</f>
        <v/>
      </c>
      <c r="AE142" s="2">
        <f>ROUND(AA142*AD142,2)</f>
        <v/>
      </c>
      <c r="AF142">
        <f>RANK(W142,$W$2:$W$181,0)</f>
        <v/>
      </c>
      <c r="AG142">
        <f>IF(AND(AB142&gt;0.18,Y142="LOW"),"PASS",IF(AB142&gt;0.08,"WATCH","FAIL"))</f>
        <v/>
      </c>
      <c r="AH142">
        <f>IFERROR(IF(VLOOKUP(A142,Rules!$G$2:$H$13,2,FALSE)="Priority","Priority Region","Standard Region"),"Standard Region")</f>
        <v/>
      </c>
      <c r="AI142">
        <f>ROUND(SUMPRODUCT(E142:J142,{0.08,0.08,0.15,0.1,0.25,0.34}),2)</f>
        <v/>
      </c>
      <c r="AJ142" s="2">
        <f>ROUND(AE142*INDEX(Rules!$J$2:$J$5,MATCH(MONTH(K142),Rules!$I$2:$I$5,1)),2)</f>
        <v/>
      </c>
    </row>
    <row r="143">
      <c r="A143" t="inlineStr">
        <is>
          <t>Navoi</t>
        </is>
      </c>
      <c r="B143" t="inlineStr">
        <is>
          <t>Rural-3</t>
        </is>
      </c>
      <c r="C143" t="inlineStr">
        <is>
          <t>Sardor Jabborov</t>
        </is>
      </c>
      <c r="D143" t="n">
        <v>224</v>
      </c>
      <c r="E143" t="n">
        <v>244</v>
      </c>
      <c r="F143" s="2" t="n">
        <v>133</v>
      </c>
      <c r="G143" t="n">
        <v>25</v>
      </c>
      <c r="H143" t="n">
        <v>8</v>
      </c>
      <c r="I143" t="n">
        <v>85</v>
      </c>
      <c r="J143" s="3" t="n">
        <v>1.0893</v>
      </c>
      <c r="K143" s="4" t="inlineStr">
        <is>
          <t>2026-10-01</t>
        </is>
      </c>
      <c r="L143" s="2" t="n">
        <v>120</v>
      </c>
      <c r="M143" s="2" t="n">
        <v>30</v>
      </c>
      <c r="N143" s="3" t="n">
        <v>0.08</v>
      </c>
      <c r="O143" t="inlineStr">
        <is>
          <t>Tier-3</t>
        </is>
      </c>
      <c r="P143">
        <f>E143-D143</f>
        <v/>
      </c>
      <c r="Q143" s="3">
        <f>IF(D143=0,0,E143/D143-1)</f>
        <v/>
      </c>
      <c r="R143" s="2">
        <f>E143*F143</f>
        <v/>
      </c>
      <c r="S143" s="2">
        <f>H143*(F143*1.5/8)</f>
        <v/>
      </c>
      <c r="T143" s="2">
        <f>R143+S143+L143+M143</f>
        <v/>
      </c>
      <c r="U143">
        <f>IF(G143=0,0,E143/G143)</f>
        <v/>
      </c>
      <c r="V143">
        <f>IF(I143&gt;=95,"A",IF(I143&gt;=85,"B",IF(I143&gt;=75,"C","D")))</f>
        <v/>
      </c>
      <c r="W143">
        <f>ROUND((J143*35)+(I143*0.25)+(U143*0.2)+(IF(Q143&gt;0,100,MAX(0,100+Q143*100))*0.2),2)</f>
        <v/>
      </c>
      <c r="X143" s="2">
        <f>ROUND(T143*N143*IF(V143="A",1.25,IF(V143="B",1.1,IF(V143="C",0.9,0.5))),2)</f>
        <v/>
      </c>
      <c r="Y143">
        <f>IF(OR(I143&lt;80,J143&lt;0.75,E143&lt;D143*0.85),"HIGH",IF(OR(I143&lt;90,J143&lt;0.9),"MEDIUM","LOW"))</f>
        <v/>
      </c>
      <c r="Z143" s="2">
        <f>ROUND(E143*INDEX(Rules!$B$2:$B$6,MATCH(O143,Rules!$A$2:$A$6,0))*INDEX(Rules!$C$2:$C$5,MATCH(V143,Rules!$D$2:$D$5,0)),2)</f>
        <v/>
      </c>
      <c r="AA143" s="2">
        <f>Z143-T143-X143</f>
        <v/>
      </c>
      <c r="AB143" s="3">
        <f>IF(Z143=0,0,AA143/Z143)</f>
        <v/>
      </c>
      <c r="AC143">
        <f>UPPER(LEFT(A143,3)&amp;"-"&amp;LEFT(B143,3)&amp;"-"&amp;TEXT(ROW()-1,"000"))</f>
        <v/>
      </c>
      <c r="AD143">
        <f>INDEX(Rules!$E$2:$E$6,MATCH(O143,Rules!$A$2:$A$6,0))</f>
        <v/>
      </c>
      <c r="AE143" s="2">
        <f>ROUND(AA143*AD143,2)</f>
        <v/>
      </c>
      <c r="AF143">
        <f>RANK(W143,$W$2:$W$181,0)</f>
        <v/>
      </c>
      <c r="AG143">
        <f>IF(AND(AB143&gt;0.18,Y143="LOW"),"PASS",IF(AB143&gt;0.08,"WATCH","FAIL"))</f>
        <v/>
      </c>
      <c r="AH143">
        <f>IFERROR(IF(VLOOKUP(A143,Rules!$G$2:$H$13,2,FALSE)="Priority","Priority Region","Standard Region"),"Standard Region")</f>
        <v/>
      </c>
      <c r="AI143">
        <f>ROUND(SUMPRODUCT(E143:J143,{0.08,0.08,0.15,0.1,0.25,0.34}),2)</f>
        <v/>
      </c>
      <c r="AJ143" s="2">
        <f>ROUND(AE143*INDEX(Rules!$J$2:$J$5,MATCH(MONTH(K143),Rules!$I$2:$I$5,1)),2)</f>
        <v/>
      </c>
    </row>
    <row r="144">
      <c r="A144" t="inlineStr">
        <is>
          <t>Syrdarya</t>
        </is>
      </c>
      <c r="B144" t="inlineStr">
        <is>
          <t>Urban-4</t>
        </is>
      </c>
      <c r="C144" t="inlineStr">
        <is>
          <t>Kamola Rahimova</t>
        </is>
      </c>
      <c r="D144" t="n">
        <v>231</v>
      </c>
      <c r="E144" t="n">
        <v>258</v>
      </c>
      <c r="F144" s="2" t="n">
        <v>142</v>
      </c>
      <c r="G144" t="n">
        <v>26</v>
      </c>
      <c r="H144" t="n">
        <v>11</v>
      </c>
      <c r="I144" t="n">
        <v>90</v>
      </c>
      <c r="J144" s="3" t="n">
        <v>1.1169</v>
      </c>
      <c r="K144" s="4" t="inlineStr">
        <is>
          <t>2026-11-01</t>
        </is>
      </c>
      <c r="L144" s="2" t="n">
        <v>128</v>
      </c>
      <c r="M144" s="2" t="n">
        <v>35</v>
      </c>
      <c r="N144" s="3" t="n">
        <v>0.0925</v>
      </c>
      <c r="O144" t="inlineStr">
        <is>
          <t>Tier-4</t>
        </is>
      </c>
      <c r="P144">
        <f>E144-D144</f>
        <v/>
      </c>
      <c r="Q144" s="3">
        <f>IF(D144=0,0,E144/D144-1)</f>
        <v/>
      </c>
      <c r="R144" s="2">
        <f>E144*F144</f>
        <v/>
      </c>
      <c r="S144" s="2">
        <f>H144*(F144*1.5/8)</f>
        <v/>
      </c>
      <c r="T144" s="2">
        <f>R144+S144+L144+M144</f>
        <v/>
      </c>
      <c r="U144">
        <f>IF(G144=0,0,E144/G144)</f>
        <v/>
      </c>
      <c r="V144">
        <f>IF(I144&gt;=95,"A",IF(I144&gt;=85,"B",IF(I144&gt;=75,"C","D")))</f>
        <v/>
      </c>
      <c r="W144">
        <f>ROUND((J144*35)+(I144*0.25)+(U144*0.2)+(IF(Q144&gt;0,100,MAX(0,100+Q144*100))*0.2),2)</f>
        <v/>
      </c>
      <c r="X144" s="2">
        <f>ROUND(T144*N144*IF(V144="A",1.25,IF(V144="B",1.1,IF(V144="C",0.9,0.5))),2)</f>
        <v/>
      </c>
      <c r="Y144">
        <f>IF(OR(I144&lt;80,J144&lt;0.75,E144&lt;D144*0.85),"HIGH",IF(OR(I144&lt;90,J144&lt;0.9),"MEDIUM","LOW"))</f>
        <v/>
      </c>
      <c r="Z144" s="2">
        <f>ROUND(E144*INDEX(Rules!$B$2:$B$6,MATCH(O144,Rules!$A$2:$A$6,0))*INDEX(Rules!$C$2:$C$5,MATCH(V144,Rules!$D$2:$D$5,0)),2)</f>
        <v/>
      </c>
      <c r="AA144" s="2">
        <f>Z144-T144-X144</f>
        <v/>
      </c>
      <c r="AB144" s="3">
        <f>IF(Z144=0,0,AA144/Z144)</f>
        <v/>
      </c>
      <c r="AC144">
        <f>UPPER(LEFT(A144,3)&amp;"-"&amp;LEFT(B144,3)&amp;"-"&amp;TEXT(ROW()-1,"000"))</f>
        <v/>
      </c>
      <c r="AD144">
        <f>INDEX(Rules!$E$2:$E$6,MATCH(O144,Rules!$A$2:$A$6,0))</f>
        <v/>
      </c>
      <c r="AE144" s="2">
        <f>ROUND(AA144*AD144,2)</f>
        <v/>
      </c>
      <c r="AF144">
        <f>RANK(W144,$W$2:$W$181,0)</f>
        <v/>
      </c>
      <c r="AG144">
        <f>IF(AND(AB144&gt;0.18,Y144="LOW"),"PASS",IF(AB144&gt;0.08,"WATCH","FAIL"))</f>
        <v/>
      </c>
      <c r="AH144">
        <f>IFERROR(IF(VLOOKUP(A144,Rules!$G$2:$H$13,2,FALSE)="Priority","Priority Region","Standard Region"),"Standard Region")</f>
        <v/>
      </c>
      <c r="AI144">
        <f>ROUND(SUMPRODUCT(E144:J144,{0.08,0.08,0.15,0.1,0.25,0.34}),2)</f>
        <v/>
      </c>
      <c r="AJ144" s="2">
        <f>ROUND(AE144*INDEX(Rules!$J$2:$J$5,MATCH(MONTH(K144),Rules!$I$2:$I$5,1)),2)</f>
        <v/>
      </c>
    </row>
    <row r="145">
      <c r="A145" t="inlineStr">
        <is>
          <t>Tashkent</t>
        </is>
      </c>
      <c r="B145" t="inlineStr">
        <is>
          <t>Central-1</t>
        </is>
      </c>
      <c r="C145" t="inlineStr">
        <is>
          <t>Aziza Karimova</t>
        </is>
      </c>
      <c r="D145" t="n">
        <v>238</v>
      </c>
      <c r="E145" t="n">
        <v>218</v>
      </c>
      <c r="F145" s="2" t="n">
        <v>151</v>
      </c>
      <c r="G145" t="n">
        <v>18</v>
      </c>
      <c r="H145" t="n">
        <v>14</v>
      </c>
      <c r="I145" t="n">
        <v>95</v>
      </c>
      <c r="J145" s="3" t="n">
        <v>0.916</v>
      </c>
      <c r="K145" s="4" t="inlineStr">
        <is>
          <t>2026-12-01</t>
        </is>
      </c>
      <c r="L145" s="2" t="n">
        <v>40</v>
      </c>
      <c r="M145" s="2" t="n">
        <v>40</v>
      </c>
      <c r="N145" s="3" t="n">
        <v>0.03</v>
      </c>
      <c r="O145" t="inlineStr">
        <is>
          <t>Tier-5</t>
        </is>
      </c>
      <c r="P145">
        <f>E145-D145</f>
        <v/>
      </c>
      <c r="Q145" s="3">
        <f>IF(D145=0,0,E145/D145-1)</f>
        <v/>
      </c>
      <c r="R145" s="2">
        <f>E145*F145</f>
        <v/>
      </c>
      <c r="S145" s="2">
        <f>H145*(F145*1.5/8)</f>
        <v/>
      </c>
      <c r="T145" s="2">
        <f>R145+S145+L145+M145</f>
        <v/>
      </c>
      <c r="U145">
        <f>IF(G145=0,0,E145/G145)</f>
        <v/>
      </c>
      <c r="V145">
        <f>IF(I145&gt;=95,"A",IF(I145&gt;=85,"B",IF(I145&gt;=75,"C","D")))</f>
        <v/>
      </c>
      <c r="W145">
        <f>ROUND((J145*35)+(I145*0.25)+(U145*0.2)+(IF(Q145&gt;0,100,MAX(0,100+Q145*100))*0.2),2)</f>
        <v/>
      </c>
      <c r="X145" s="2">
        <f>ROUND(T145*N145*IF(V145="A",1.25,IF(V145="B",1.1,IF(V145="C",0.9,0.5))),2)</f>
        <v/>
      </c>
      <c r="Y145">
        <f>IF(OR(I145&lt;80,J145&lt;0.75,E145&lt;D145*0.85),"HIGH",IF(OR(I145&lt;90,J145&lt;0.9),"MEDIUM","LOW"))</f>
        <v/>
      </c>
      <c r="Z145" s="2">
        <f>ROUND(E145*INDEX(Rules!$B$2:$B$6,MATCH(O145,Rules!$A$2:$A$6,0))*INDEX(Rules!$C$2:$C$5,MATCH(V145,Rules!$D$2:$D$5,0)),2)</f>
        <v/>
      </c>
      <c r="AA145" s="2">
        <f>Z145-T145-X145</f>
        <v/>
      </c>
      <c r="AB145" s="3">
        <f>IF(Z145=0,0,AA145/Z145)</f>
        <v/>
      </c>
      <c r="AC145">
        <f>UPPER(LEFT(A145,3)&amp;"-"&amp;LEFT(B145,3)&amp;"-"&amp;TEXT(ROW()-1,"000"))</f>
        <v/>
      </c>
      <c r="AD145">
        <f>INDEX(Rules!$E$2:$E$6,MATCH(O145,Rules!$A$2:$A$6,0))</f>
        <v/>
      </c>
      <c r="AE145" s="2">
        <f>ROUND(AA145*AD145,2)</f>
        <v/>
      </c>
      <c r="AF145">
        <f>RANK(W145,$W$2:$W$181,0)</f>
        <v/>
      </c>
      <c r="AG145">
        <f>IF(AND(AB145&gt;0.18,Y145="LOW"),"PASS",IF(AB145&gt;0.08,"WATCH","FAIL"))</f>
        <v/>
      </c>
      <c r="AH145">
        <f>IFERROR(IF(VLOOKUP(A145,Rules!$G$2:$H$13,2,FALSE)="Priority","Priority Region","Standard Region"),"Standard Region")</f>
        <v/>
      </c>
      <c r="AI145">
        <f>ROUND(SUMPRODUCT(E145:J145,{0.08,0.08,0.15,0.1,0.25,0.34}),2)</f>
        <v/>
      </c>
      <c r="AJ145" s="2">
        <f>ROUND(AE145*INDEX(Rules!$J$2:$J$5,MATCH(MONTH(K145),Rules!$I$2:$I$5,1)),2)</f>
        <v/>
      </c>
    </row>
    <row r="146">
      <c r="A146" t="inlineStr">
        <is>
          <t>Samarkand</t>
        </is>
      </c>
      <c r="B146" t="inlineStr">
        <is>
          <t>North-2</t>
        </is>
      </c>
      <c r="C146" t="inlineStr">
        <is>
          <t>Bekzod Aliyev</t>
        </is>
      </c>
      <c r="D146" t="n">
        <v>245</v>
      </c>
      <c r="E146" t="n">
        <v>227</v>
      </c>
      <c r="F146" s="2" t="n">
        <v>160</v>
      </c>
      <c r="G146" t="n">
        <v>19</v>
      </c>
      <c r="H146" t="n">
        <v>17</v>
      </c>
      <c r="I146" t="n">
        <v>100</v>
      </c>
      <c r="J146" s="3" t="n">
        <v>0.9265</v>
      </c>
      <c r="K146" s="4" t="inlineStr">
        <is>
          <t>2026-01-01</t>
        </is>
      </c>
      <c r="L146" s="2" t="n">
        <v>48</v>
      </c>
      <c r="M146" s="2" t="n">
        <v>45</v>
      </c>
      <c r="N146" s="3" t="n">
        <v>0.0425</v>
      </c>
      <c r="O146" t="inlineStr">
        <is>
          <t>Tier-1</t>
        </is>
      </c>
      <c r="P146">
        <f>E146-D146</f>
        <v/>
      </c>
      <c r="Q146" s="3">
        <f>IF(D146=0,0,E146/D146-1)</f>
        <v/>
      </c>
      <c r="R146" s="2">
        <f>E146*F146</f>
        <v/>
      </c>
      <c r="S146" s="2">
        <f>H146*(F146*1.5/8)</f>
        <v/>
      </c>
      <c r="T146" s="2">
        <f>R146+S146+L146+M146</f>
        <v/>
      </c>
      <c r="U146">
        <f>IF(G146=0,0,E146/G146)</f>
        <v/>
      </c>
      <c r="V146">
        <f>IF(I146&gt;=95,"A",IF(I146&gt;=85,"B",IF(I146&gt;=75,"C","D")))</f>
        <v/>
      </c>
      <c r="W146">
        <f>ROUND((J146*35)+(I146*0.25)+(U146*0.2)+(IF(Q146&gt;0,100,MAX(0,100+Q146*100))*0.2),2)</f>
        <v/>
      </c>
      <c r="X146" s="2">
        <f>ROUND(T146*N146*IF(V146="A",1.25,IF(V146="B",1.1,IF(V146="C",0.9,0.5))),2)</f>
        <v/>
      </c>
      <c r="Y146">
        <f>IF(OR(I146&lt;80,J146&lt;0.75,E146&lt;D146*0.85),"HIGH",IF(OR(I146&lt;90,J146&lt;0.9),"MEDIUM","LOW"))</f>
        <v/>
      </c>
      <c r="Z146" s="2">
        <f>ROUND(E146*INDEX(Rules!$B$2:$B$6,MATCH(O146,Rules!$A$2:$A$6,0))*INDEX(Rules!$C$2:$C$5,MATCH(V146,Rules!$D$2:$D$5,0)),2)</f>
        <v/>
      </c>
      <c r="AA146" s="2">
        <f>Z146-T146-X146</f>
        <v/>
      </c>
      <c r="AB146" s="3">
        <f>IF(Z146=0,0,AA146/Z146)</f>
        <v/>
      </c>
      <c r="AC146">
        <f>UPPER(LEFT(A146,3)&amp;"-"&amp;LEFT(B146,3)&amp;"-"&amp;TEXT(ROW()-1,"000"))</f>
        <v/>
      </c>
      <c r="AD146">
        <f>INDEX(Rules!$E$2:$E$6,MATCH(O146,Rules!$A$2:$A$6,0))</f>
        <v/>
      </c>
      <c r="AE146" s="2">
        <f>ROUND(AA146*AD146,2)</f>
        <v/>
      </c>
      <c r="AF146">
        <f>RANK(W146,$W$2:$W$181,0)</f>
        <v/>
      </c>
      <c r="AG146">
        <f>IF(AND(AB146&gt;0.18,Y146="LOW"),"PASS",IF(AB146&gt;0.08,"WATCH","FAIL"))</f>
        <v/>
      </c>
      <c r="AH146">
        <f>IFERROR(IF(VLOOKUP(A146,Rules!$G$2:$H$13,2,FALSE)="Priority","Priority Region","Standard Region"),"Standard Region")</f>
        <v/>
      </c>
      <c r="AI146">
        <f>ROUND(SUMPRODUCT(E146:J146,{0.08,0.08,0.15,0.1,0.25,0.34}),2)</f>
        <v/>
      </c>
      <c r="AJ146" s="2">
        <f>ROUND(AE146*INDEX(Rules!$J$2:$J$5,MATCH(MONTH(K146),Rules!$I$2:$I$5,1)),2)</f>
        <v/>
      </c>
    </row>
    <row r="147">
      <c r="A147" t="inlineStr">
        <is>
          <t>Bukhara</t>
        </is>
      </c>
      <c r="B147" t="inlineStr">
        <is>
          <t>South-3</t>
        </is>
      </c>
      <c r="C147" t="inlineStr">
        <is>
          <t>Dilshod Rustamov</t>
        </is>
      </c>
      <c r="D147" t="n">
        <v>82</v>
      </c>
      <c r="E147" t="n">
        <v>71</v>
      </c>
      <c r="F147" s="2" t="n">
        <v>169</v>
      </c>
      <c r="G147" t="n">
        <v>20</v>
      </c>
      <c r="H147" t="n">
        <v>20</v>
      </c>
      <c r="I147" t="n">
        <v>72</v>
      </c>
      <c r="J147" s="3" t="n">
        <v>0.8659</v>
      </c>
      <c r="K147" s="4" t="inlineStr">
        <is>
          <t>2026-02-01</t>
        </is>
      </c>
      <c r="L147" s="2" t="n">
        <v>56</v>
      </c>
      <c r="M147" s="2" t="n">
        <v>50</v>
      </c>
      <c r="N147" s="3" t="n">
        <v>0.055</v>
      </c>
      <c r="O147" t="inlineStr">
        <is>
          <t>Tier-2</t>
        </is>
      </c>
      <c r="P147">
        <f>E147-D147</f>
        <v/>
      </c>
      <c r="Q147" s="3">
        <f>IF(D147=0,0,E147/D147-1)</f>
        <v/>
      </c>
      <c r="R147" s="2">
        <f>E147*F147</f>
        <v/>
      </c>
      <c r="S147" s="2">
        <f>H147*(F147*1.5/8)</f>
        <v/>
      </c>
      <c r="T147" s="2">
        <f>R147+S147+L147+M147</f>
        <v/>
      </c>
      <c r="U147">
        <f>IF(G147=0,0,E147/G147)</f>
        <v/>
      </c>
      <c r="V147">
        <f>IF(I147&gt;=95,"A",IF(I147&gt;=85,"B",IF(I147&gt;=75,"C","D")))</f>
        <v/>
      </c>
      <c r="W147">
        <f>ROUND((J147*35)+(I147*0.25)+(U147*0.2)+(IF(Q147&gt;0,100,MAX(0,100+Q147*100))*0.2),2)</f>
        <v/>
      </c>
      <c r="X147" s="2">
        <f>ROUND(T147*N147*IF(V147="A",1.25,IF(V147="B",1.1,IF(V147="C",0.9,0.5))),2)</f>
        <v/>
      </c>
      <c r="Y147">
        <f>IF(OR(I147&lt;80,J147&lt;0.75,E147&lt;D147*0.85),"HIGH",IF(OR(I147&lt;90,J147&lt;0.9),"MEDIUM","LOW"))</f>
        <v/>
      </c>
      <c r="Z147" s="2">
        <f>ROUND(E147*INDEX(Rules!$B$2:$B$6,MATCH(O147,Rules!$A$2:$A$6,0))*INDEX(Rules!$C$2:$C$5,MATCH(V147,Rules!$D$2:$D$5,0)),2)</f>
        <v/>
      </c>
      <c r="AA147" s="2">
        <f>Z147-T147-X147</f>
        <v/>
      </c>
      <c r="AB147" s="3">
        <f>IF(Z147=0,0,AA147/Z147)</f>
        <v/>
      </c>
      <c r="AC147">
        <f>UPPER(LEFT(A147,3)&amp;"-"&amp;LEFT(B147,3)&amp;"-"&amp;TEXT(ROW()-1,"000"))</f>
        <v/>
      </c>
      <c r="AD147">
        <f>INDEX(Rules!$E$2:$E$6,MATCH(O147,Rules!$A$2:$A$6,0))</f>
        <v/>
      </c>
      <c r="AE147" s="2">
        <f>ROUND(AA147*AD147,2)</f>
        <v/>
      </c>
      <c r="AF147">
        <f>RANK(W147,$W$2:$W$181,0)</f>
        <v/>
      </c>
      <c r="AG147">
        <f>IF(AND(AB147&gt;0.18,Y147="LOW"),"PASS",IF(AB147&gt;0.08,"WATCH","FAIL"))</f>
        <v/>
      </c>
      <c r="AH147">
        <f>IFERROR(IF(VLOOKUP(A147,Rules!$G$2:$H$13,2,FALSE)="Priority","Priority Region","Standard Region"),"Standard Region")</f>
        <v/>
      </c>
      <c r="AI147">
        <f>ROUND(SUMPRODUCT(E147:J147,{0.08,0.08,0.15,0.1,0.25,0.34}),2)</f>
        <v/>
      </c>
      <c r="AJ147" s="2">
        <f>ROUND(AE147*INDEX(Rules!$J$2:$J$5,MATCH(MONTH(K147),Rules!$I$2:$I$5,1)),2)</f>
        <v/>
      </c>
    </row>
    <row r="148">
      <c r="A148" t="inlineStr">
        <is>
          <t>Andijan</t>
        </is>
      </c>
      <c r="B148" t="inlineStr">
        <is>
          <t>East-4</t>
        </is>
      </c>
      <c r="C148" t="inlineStr">
        <is>
          <t>Malika Ergasheva</t>
        </is>
      </c>
      <c r="D148" t="n">
        <v>89</v>
      </c>
      <c r="E148" t="n">
        <v>85</v>
      </c>
      <c r="F148" s="2" t="n">
        <v>178</v>
      </c>
      <c r="G148" t="n">
        <v>21</v>
      </c>
      <c r="H148" t="n">
        <v>1</v>
      </c>
      <c r="I148" t="n">
        <v>77</v>
      </c>
      <c r="J148" s="3" t="n">
        <v>0.9550999999999999</v>
      </c>
      <c r="K148" s="4" t="inlineStr">
        <is>
          <t>2026-03-01</t>
        </is>
      </c>
      <c r="L148" s="2" t="n">
        <v>64</v>
      </c>
      <c r="M148" s="2" t="n">
        <v>55</v>
      </c>
      <c r="N148" s="3" t="n">
        <v>0.0675</v>
      </c>
      <c r="O148" t="inlineStr">
        <is>
          <t>Tier-3</t>
        </is>
      </c>
      <c r="P148">
        <f>E148-D148</f>
        <v/>
      </c>
      <c r="Q148" s="3">
        <f>IF(D148=0,0,E148/D148-1)</f>
        <v/>
      </c>
      <c r="R148" s="2">
        <f>E148*F148</f>
        <v/>
      </c>
      <c r="S148" s="2">
        <f>H148*(F148*1.5/8)</f>
        <v/>
      </c>
      <c r="T148" s="2">
        <f>R148+S148+L148+M148</f>
        <v/>
      </c>
      <c r="U148">
        <f>IF(G148=0,0,E148/G148)</f>
        <v/>
      </c>
      <c r="V148">
        <f>IF(I148&gt;=95,"A",IF(I148&gt;=85,"B",IF(I148&gt;=75,"C","D")))</f>
        <v/>
      </c>
      <c r="W148">
        <f>ROUND((J148*35)+(I148*0.25)+(U148*0.2)+(IF(Q148&gt;0,100,MAX(0,100+Q148*100))*0.2),2)</f>
        <v/>
      </c>
      <c r="X148" s="2">
        <f>ROUND(T148*N148*IF(V148="A",1.25,IF(V148="B",1.1,IF(V148="C",0.9,0.5))),2)</f>
        <v/>
      </c>
      <c r="Y148">
        <f>IF(OR(I148&lt;80,J148&lt;0.75,E148&lt;D148*0.85),"HIGH",IF(OR(I148&lt;90,J148&lt;0.9),"MEDIUM","LOW"))</f>
        <v/>
      </c>
      <c r="Z148" s="2">
        <f>ROUND(E148*INDEX(Rules!$B$2:$B$6,MATCH(O148,Rules!$A$2:$A$6,0))*INDEX(Rules!$C$2:$C$5,MATCH(V148,Rules!$D$2:$D$5,0)),2)</f>
        <v/>
      </c>
      <c r="AA148" s="2">
        <f>Z148-T148-X148</f>
        <v/>
      </c>
      <c r="AB148" s="3">
        <f>IF(Z148=0,0,AA148/Z148)</f>
        <v/>
      </c>
      <c r="AC148">
        <f>UPPER(LEFT(A148,3)&amp;"-"&amp;LEFT(B148,3)&amp;"-"&amp;TEXT(ROW()-1,"000"))</f>
        <v/>
      </c>
      <c r="AD148">
        <f>INDEX(Rules!$E$2:$E$6,MATCH(O148,Rules!$A$2:$A$6,0))</f>
        <v/>
      </c>
      <c r="AE148" s="2">
        <f>ROUND(AA148*AD148,2)</f>
        <v/>
      </c>
      <c r="AF148">
        <f>RANK(W148,$W$2:$W$181,0)</f>
        <v/>
      </c>
      <c r="AG148">
        <f>IF(AND(AB148&gt;0.18,Y148="LOW"),"PASS",IF(AB148&gt;0.08,"WATCH","FAIL"))</f>
        <v/>
      </c>
      <c r="AH148">
        <f>IFERROR(IF(VLOOKUP(A148,Rules!$G$2:$H$13,2,FALSE)="Priority","Priority Region","Standard Region"),"Standard Region")</f>
        <v/>
      </c>
      <c r="AI148">
        <f>ROUND(SUMPRODUCT(E148:J148,{0.08,0.08,0.15,0.1,0.25,0.34}),2)</f>
        <v/>
      </c>
      <c r="AJ148" s="2">
        <f>ROUND(AE148*INDEX(Rules!$J$2:$J$5,MATCH(MONTH(K148),Rules!$I$2:$I$5,1)),2)</f>
        <v/>
      </c>
    </row>
    <row r="149">
      <c r="A149" t="inlineStr">
        <is>
          <t>Namangan</t>
        </is>
      </c>
      <c r="B149" t="inlineStr">
        <is>
          <t>West-1</t>
        </is>
      </c>
      <c r="C149" t="inlineStr">
        <is>
          <t>Shahzod Islomov</t>
        </is>
      </c>
      <c r="D149" t="n">
        <v>96</v>
      </c>
      <c r="E149" t="n">
        <v>99</v>
      </c>
      <c r="F149" s="2" t="n">
        <v>187</v>
      </c>
      <c r="G149" t="n">
        <v>22</v>
      </c>
      <c r="H149" t="n">
        <v>4</v>
      </c>
      <c r="I149" t="n">
        <v>82</v>
      </c>
      <c r="J149" s="3" t="n">
        <v>1.0312</v>
      </c>
      <c r="K149" s="4" t="inlineStr">
        <is>
          <t>2026-04-01</t>
        </is>
      </c>
      <c r="L149" s="2" t="n">
        <v>72</v>
      </c>
      <c r="M149" s="2" t="n">
        <v>60</v>
      </c>
      <c r="N149" s="3" t="n">
        <v>0.08</v>
      </c>
      <c r="O149" t="inlineStr">
        <is>
          <t>Tier-4</t>
        </is>
      </c>
      <c r="P149">
        <f>E149-D149</f>
        <v/>
      </c>
      <c r="Q149" s="3">
        <f>IF(D149=0,0,E149/D149-1)</f>
        <v/>
      </c>
      <c r="R149" s="2">
        <f>E149*F149</f>
        <v/>
      </c>
      <c r="S149" s="2">
        <f>H149*(F149*1.5/8)</f>
        <v/>
      </c>
      <c r="T149" s="2">
        <f>R149+S149+L149+M149</f>
        <v/>
      </c>
      <c r="U149">
        <f>IF(G149=0,0,E149/G149)</f>
        <v/>
      </c>
      <c r="V149">
        <f>IF(I149&gt;=95,"A",IF(I149&gt;=85,"B",IF(I149&gt;=75,"C","D")))</f>
        <v/>
      </c>
      <c r="W149">
        <f>ROUND((J149*35)+(I149*0.25)+(U149*0.2)+(IF(Q149&gt;0,100,MAX(0,100+Q149*100))*0.2),2)</f>
        <v/>
      </c>
      <c r="X149" s="2">
        <f>ROUND(T149*N149*IF(V149="A",1.25,IF(V149="B",1.1,IF(V149="C",0.9,0.5))),2)</f>
        <v/>
      </c>
      <c r="Y149">
        <f>IF(OR(I149&lt;80,J149&lt;0.75,E149&lt;D149*0.85),"HIGH",IF(OR(I149&lt;90,J149&lt;0.9),"MEDIUM","LOW"))</f>
        <v/>
      </c>
      <c r="Z149" s="2">
        <f>ROUND(E149*INDEX(Rules!$B$2:$B$6,MATCH(O149,Rules!$A$2:$A$6,0))*INDEX(Rules!$C$2:$C$5,MATCH(V149,Rules!$D$2:$D$5,0)),2)</f>
        <v/>
      </c>
      <c r="AA149" s="2">
        <f>Z149-T149-X149</f>
        <v/>
      </c>
      <c r="AB149" s="3">
        <f>IF(Z149=0,0,AA149/Z149)</f>
        <v/>
      </c>
      <c r="AC149">
        <f>UPPER(LEFT(A149,3)&amp;"-"&amp;LEFT(B149,3)&amp;"-"&amp;TEXT(ROW()-1,"000"))</f>
        <v/>
      </c>
      <c r="AD149">
        <f>INDEX(Rules!$E$2:$E$6,MATCH(O149,Rules!$A$2:$A$6,0))</f>
        <v/>
      </c>
      <c r="AE149" s="2">
        <f>ROUND(AA149*AD149,2)</f>
        <v/>
      </c>
      <c r="AF149">
        <f>RANK(W149,$W$2:$W$181,0)</f>
        <v/>
      </c>
      <c r="AG149">
        <f>IF(AND(AB149&gt;0.18,Y149="LOW"),"PASS",IF(AB149&gt;0.08,"WATCH","FAIL"))</f>
        <v/>
      </c>
      <c r="AH149">
        <f>IFERROR(IF(VLOOKUP(A149,Rules!$G$2:$H$13,2,FALSE)="Priority","Priority Region","Standard Region"),"Standard Region")</f>
        <v/>
      </c>
      <c r="AI149">
        <f>ROUND(SUMPRODUCT(E149:J149,{0.08,0.08,0.15,0.1,0.25,0.34}),2)</f>
        <v/>
      </c>
      <c r="AJ149" s="2">
        <f>ROUND(AE149*INDEX(Rules!$J$2:$J$5,MATCH(MONTH(K149),Rules!$I$2:$I$5,1)),2)</f>
        <v/>
      </c>
    </row>
    <row r="150">
      <c r="A150" t="inlineStr">
        <is>
          <t>Fergana</t>
        </is>
      </c>
      <c r="B150" t="inlineStr">
        <is>
          <t>Industrial-2</t>
        </is>
      </c>
      <c r="C150" t="inlineStr">
        <is>
          <t>Nilufar Tursunova</t>
        </is>
      </c>
      <c r="D150" t="n">
        <v>103</v>
      </c>
      <c r="E150" t="n">
        <v>113</v>
      </c>
      <c r="F150" s="2" t="n">
        <v>196</v>
      </c>
      <c r="G150" t="n">
        <v>23</v>
      </c>
      <c r="H150" t="n">
        <v>7</v>
      </c>
      <c r="I150" t="n">
        <v>87</v>
      </c>
      <c r="J150" s="3" t="n">
        <v>1.0971</v>
      </c>
      <c r="K150" s="4" t="inlineStr">
        <is>
          <t>2026-05-01</t>
        </is>
      </c>
      <c r="L150" s="2" t="n">
        <v>80</v>
      </c>
      <c r="M150" s="2" t="n">
        <v>65</v>
      </c>
      <c r="N150" s="3" t="n">
        <v>0.0925</v>
      </c>
      <c r="O150" t="inlineStr">
        <is>
          <t>Tier-5</t>
        </is>
      </c>
      <c r="P150">
        <f>E150-D150</f>
        <v/>
      </c>
      <c r="Q150" s="3">
        <f>IF(D150=0,0,E150/D150-1)</f>
        <v/>
      </c>
      <c r="R150" s="2">
        <f>E150*F150</f>
        <v/>
      </c>
      <c r="S150" s="2">
        <f>H150*(F150*1.5/8)</f>
        <v/>
      </c>
      <c r="T150" s="2">
        <f>R150+S150+L150+M150</f>
        <v/>
      </c>
      <c r="U150">
        <f>IF(G150=0,0,E150/G150)</f>
        <v/>
      </c>
      <c r="V150">
        <f>IF(I150&gt;=95,"A",IF(I150&gt;=85,"B",IF(I150&gt;=75,"C","D")))</f>
        <v/>
      </c>
      <c r="W150">
        <f>ROUND((J150*35)+(I150*0.25)+(U150*0.2)+(IF(Q150&gt;0,100,MAX(0,100+Q150*100))*0.2),2)</f>
        <v/>
      </c>
      <c r="X150" s="2">
        <f>ROUND(T150*N150*IF(V150="A",1.25,IF(V150="B",1.1,IF(V150="C",0.9,0.5))),2)</f>
        <v/>
      </c>
      <c r="Y150">
        <f>IF(OR(I150&lt;80,J150&lt;0.75,E150&lt;D150*0.85),"HIGH",IF(OR(I150&lt;90,J150&lt;0.9),"MEDIUM","LOW"))</f>
        <v/>
      </c>
      <c r="Z150" s="2">
        <f>ROUND(E150*INDEX(Rules!$B$2:$B$6,MATCH(O150,Rules!$A$2:$A$6,0))*INDEX(Rules!$C$2:$C$5,MATCH(V150,Rules!$D$2:$D$5,0)),2)</f>
        <v/>
      </c>
      <c r="AA150" s="2">
        <f>Z150-T150-X150</f>
        <v/>
      </c>
      <c r="AB150" s="3">
        <f>IF(Z150=0,0,AA150/Z150)</f>
        <v/>
      </c>
      <c r="AC150">
        <f>UPPER(LEFT(A150,3)&amp;"-"&amp;LEFT(B150,3)&amp;"-"&amp;TEXT(ROW()-1,"000"))</f>
        <v/>
      </c>
      <c r="AD150">
        <f>INDEX(Rules!$E$2:$E$6,MATCH(O150,Rules!$A$2:$A$6,0))</f>
        <v/>
      </c>
      <c r="AE150" s="2">
        <f>ROUND(AA150*AD150,2)</f>
        <v/>
      </c>
      <c r="AF150">
        <f>RANK(W150,$W$2:$W$181,0)</f>
        <v/>
      </c>
      <c r="AG150">
        <f>IF(AND(AB150&gt;0.18,Y150="LOW"),"PASS",IF(AB150&gt;0.08,"WATCH","FAIL"))</f>
        <v/>
      </c>
      <c r="AH150">
        <f>IFERROR(IF(VLOOKUP(A150,Rules!$G$2:$H$13,2,FALSE)="Priority","Priority Region","Standard Region"),"Standard Region")</f>
        <v/>
      </c>
      <c r="AI150">
        <f>ROUND(SUMPRODUCT(E150:J150,{0.08,0.08,0.15,0.1,0.25,0.34}),2)</f>
        <v/>
      </c>
      <c r="AJ150" s="2">
        <f>ROUND(AE150*INDEX(Rules!$J$2:$J$5,MATCH(MONTH(K150),Rules!$I$2:$I$5,1)),2)</f>
        <v/>
      </c>
    </row>
    <row r="151">
      <c r="A151" t="inlineStr">
        <is>
          <t>Kashkadarya</t>
        </is>
      </c>
      <c r="B151" t="inlineStr">
        <is>
          <t>Rural-3</t>
        </is>
      </c>
      <c r="C151" t="inlineStr">
        <is>
          <t>Sardor Jabborov</t>
        </is>
      </c>
      <c r="D151" t="n">
        <v>110</v>
      </c>
      <c r="E151" t="n">
        <v>122</v>
      </c>
      <c r="F151" s="2" t="n">
        <v>205</v>
      </c>
      <c r="G151" t="n">
        <v>24</v>
      </c>
      <c r="H151" t="n">
        <v>10</v>
      </c>
      <c r="I151" t="n">
        <v>92</v>
      </c>
      <c r="J151" s="3" t="n">
        <v>1.1091</v>
      </c>
      <c r="K151" s="4" t="inlineStr">
        <is>
          <t>2026-06-01</t>
        </is>
      </c>
      <c r="L151" s="2" t="n">
        <v>88</v>
      </c>
      <c r="M151" s="2" t="n">
        <v>20</v>
      </c>
      <c r="N151" s="3" t="n">
        <v>0.03</v>
      </c>
      <c r="O151" t="inlineStr">
        <is>
          <t>Tier-1</t>
        </is>
      </c>
      <c r="P151">
        <f>E151-D151</f>
        <v/>
      </c>
      <c r="Q151" s="3">
        <f>IF(D151=0,0,E151/D151-1)</f>
        <v/>
      </c>
      <c r="R151" s="2">
        <f>E151*F151</f>
        <v/>
      </c>
      <c r="S151" s="2">
        <f>H151*(F151*1.5/8)</f>
        <v/>
      </c>
      <c r="T151" s="2">
        <f>R151+S151+L151+M151</f>
        <v/>
      </c>
      <c r="U151">
        <f>IF(G151=0,0,E151/G151)</f>
        <v/>
      </c>
      <c r="V151">
        <f>IF(I151&gt;=95,"A",IF(I151&gt;=85,"B",IF(I151&gt;=75,"C","D")))</f>
        <v/>
      </c>
      <c r="W151">
        <f>ROUND((J151*35)+(I151*0.25)+(U151*0.2)+(IF(Q151&gt;0,100,MAX(0,100+Q151*100))*0.2),2)</f>
        <v/>
      </c>
      <c r="X151" s="2">
        <f>ROUND(T151*N151*IF(V151="A",1.25,IF(V151="B",1.1,IF(V151="C",0.9,0.5))),2)</f>
        <v/>
      </c>
      <c r="Y151">
        <f>IF(OR(I151&lt;80,J151&lt;0.75,E151&lt;D151*0.85),"HIGH",IF(OR(I151&lt;90,J151&lt;0.9),"MEDIUM","LOW"))</f>
        <v/>
      </c>
      <c r="Z151" s="2">
        <f>ROUND(E151*INDEX(Rules!$B$2:$B$6,MATCH(O151,Rules!$A$2:$A$6,0))*INDEX(Rules!$C$2:$C$5,MATCH(V151,Rules!$D$2:$D$5,0)),2)</f>
        <v/>
      </c>
      <c r="AA151" s="2">
        <f>Z151-T151-X151</f>
        <v/>
      </c>
      <c r="AB151" s="3">
        <f>IF(Z151=0,0,AA151/Z151)</f>
        <v/>
      </c>
      <c r="AC151">
        <f>UPPER(LEFT(A151,3)&amp;"-"&amp;LEFT(B151,3)&amp;"-"&amp;TEXT(ROW()-1,"000"))</f>
        <v/>
      </c>
      <c r="AD151">
        <f>INDEX(Rules!$E$2:$E$6,MATCH(O151,Rules!$A$2:$A$6,0))</f>
        <v/>
      </c>
      <c r="AE151" s="2">
        <f>ROUND(AA151*AD151,2)</f>
        <v/>
      </c>
      <c r="AF151">
        <f>RANK(W151,$W$2:$W$181,0)</f>
        <v/>
      </c>
      <c r="AG151">
        <f>IF(AND(AB151&gt;0.18,Y151="LOW"),"PASS",IF(AB151&gt;0.08,"WATCH","FAIL"))</f>
        <v/>
      </c>
      <c r="AH151">
        <f>IFERROR(IF(VLOOKUP(A151,Rules!$G$2:$H$13,2,FALSE)="Priority","Priority Region","Standard Region"),"Standard Region")</f>
        <v/>
      </c>
      <c r="AI151">
        <f>ROUND(SUMPRODUCT(E151:J151,{0.08,0.08,0.15,0.1,0.25,0.34}),2)</f>
        <v/>
      </c>
      <c r="AJ151" s="2">
        <f>ROUND(AE151*INDEX(Rules!$J$2:$J$5,MATCH(MONTH(K151),Rules!$I$2:$I$5,1)),2)</f>
        <v/>
      </c>
    </row>
    <row r="152">
      <c r="A152" t="inlineStr">
        <is>
          <t>Surkhandarya</t>
        </is>
      </c>
      <c r="B152" t="inlineStr">
        <is>
          <t>Urban-4</t>
        </is>
      </c>
      <c r="C152" t="inlineStr">
        <is>
          <t>Kamola Rahimova</t>
        </is>
      </c>
      <c r="D152" t="n">
        <v>117</v>
      </c>
      <c r="E152" t="n">
        <v>136</v>
      </c>
      <c r="F152" s="2" t="n">
        <v>214</v>
      </c>
      <c r="G152" t="n">
        <v>25</v>
      </c>
      <c r="H152" t="n">
        <v>13</v>
      </c>
      <c r="I152" t="n">
        <v>97</v>
      </c>
      <c r="J152" s="3" t="n">
        <v>1.1624</v>
      </c>
      <c r="K152" s="4" t="inlineStr">
        <is>
          <t>2026-07-01</t>
        </is>
      </c>
      <c r="L152" s="2" t="n">
        <v>96</v>
      </c>
      <c r="M152" s="2" t="n">
        <v>25</v>
      </c>
      <c r="N152" s="3" t="n">
        <v>0.0425</v>
      </c>
      <c r="O152" t="inlineStr">
        <is>
          <t>Tier-2</t>
        </is>
      </c>
      <c r="P152">
        <f>E152-D152</f>
        <v/>
      </c>
      <c r="Q152" s="3">
        <f>IF(D152=0,0,E152/D152-1)</f>
        <v/>
      </c>
      <c r="R152" s="2">
        <f>E152*F152</f>
        <v/>
      </c>
      <c r="S152" s="2">
        <f>H152*(F152*1.5/8)</f>
        <v/>
      </c>
      <c r="T152" s="2">
        <f>R152+S152+L152+M152</f>
        <v/>
      </c>
      <c r="U152">
        <f>IF(G152=0,0,E152/G152)</f>
        <v/>
      </c>
      <c r="V152">
        <f>IF(I152&gt;=95,"A",IF(I152&gt;=85,"B",IF(I152&gt;=75,"C","D")))</f>
        <v/>
      </c>
      <c r="W152">
        <f>ROUND((J152*35)+(I152*0.25)+(U152*0.2)+(IF(Q152&gt;0,100,MAX(0,100+Q152*100))*0.2),2)</f>
        <v/>
      </c>
      <c r="X152" s="2">
        <f>ROUND(T152*N152*IF(V152="A",1.25,IF(V152="B",1.1,IF(V152="C",0.9,0.5))),2)</f>
        <v/>
      </c>
      <c r="Y152">
        <f>IF(OR(I152&lt;80,J152&lt;0.75,E152&lt;D152*0.85),"HIGH",IF(OR(I152&lt;90,J152&lt;0.9),"MEDIUM","LOW"))</f>
        <v/>
      </c>
      <c r="Z152" s="2">
        <f>ROUND(E152*INDEX(Rules!$B$2:$B$6,MATCH(O152,Rules!$A$2:$A$6,0))*INDEX(Rules!$C$2:$C$5,MATCH(V152,Rules!$D$2:$D$5,0)),2)</f>
        <v/>
      </c>
      <c r="AA152" s="2">
        <f>Z152-T152-X152</f>
        <v/>
      </c>
      <c r="AB152" s="3">
        <f>IF(Z152=0,0,AA152/Z152)</f>
        <v/>
      </c>
      <c r="AC152">
        <f>UPPER(LEFT(A152,3)&amp;"-"&amp;LEFT(B152,3)&amp;"-"&amp;TEXT(ROW()-1,"000"))</f>
        <v/>
      </c>
      <c r="AD152">
        <f>INDEX(Rules!$E$2:$E$6,MATCH(O152,Rules!$A$2:$A$6,0))</f>
        <v/>
      </c>
      <c r="AE152" s="2">
        <f>ROUND(AA152*AD152,2)</f>
        <v/>
      </c>
      <c r="AF152">
        <f>RANK(W152,$W$2:$W$181,0)</f>
        <v/>
      </c>
      <c r="AG152">
        <f>IF(AND(AB152&gt;0.18,Y152="LOW"),"PASS",IF(AB152&gt;0.08,"WATCH","FAIL"))</f>
        <v/>
      </c>
      <c r="AH152">
        <f>IFERROR(IF(VLOOKUP(A152,Rules!$G$2:$H$13,2,FALSE)="Priority","Priority Region","Standard Region"),"Standard Region")</f>
        <v/>
      </c>
      <c r="AI152">
        <f>ROUND(SUMPRODUCT(E152:J152,{0.08,0.08,0.15,0.1,0.25,0.34}),2)</f>
        <v/>
      </c>
      <c r="AJ152" s="2">
        <f>ROUND(AE152*INDEX(Rules!$J$2:$J$5,MATCH(MONTH(K152),Rules!$I$2:$I$5,1)),2)</f>
        <v/>
      </c>
    </row>
    <row r="153">
      <c r="A153" t="inlineStr">
        <is>
          <t>Khorezm</t>
        </is>
      </c>
      <c r="B153" t="inlineStr">
        <is>
          <t>Central-1</t>
        </is>
      </c>
      <c r="C153" t="inlineStr">
        <is>
          <t>Aziza Karimova</t>
        </is>
      </c>
      <c r="D153" t="n">
        <v>124</v>
      </c>
      <c r="E153" t="n">
        <v>150</v>
      </c>
      <c r="F153" s="2" t="n">
        <v>223</v>
      </c>
      <c r="G153" t="n">
        <v>26</v>
      </c>
      <c r="H153" t="n">
        <v>16</v>
      </c>
      <c r="I153" t="n">
        <v>69</v>
      </c>
      <c r="J153" s="3" t="n">
        <v>1.2097</v>
      </c>
      <c r="K153" s="4" t="inlineStr">
        <is>
          <t>2026-08-01</t>
        </is>
      </c>
      <c r="L153" s="2" t="n">
        <v>104</v>
      </c>
      <c r="M153" s="2" t="n">
        <v>30</v>
      </c>
      <c r="N153" s="3" t="n">
        <v>0.055</v>
      </c>
      <c r="O153" t="inlineStr">
        <is>
          <t>Tier-3</t>
        </is>
      </c>
      <c r="P153">
        <f>E153-D153</f>
        <v/>
      </c>
      <c r="Q153" s="3">
        <f>IF(D153=0,0,E153/D153-1)</f>
        <v/>
      </c>
      <c r="R153" s="2">
        <f>E153*F153</f>
        <v/>
      </c>
      <c r="S153" s="2">
        <f>H153*(F153*1.5/8)</f>
        <v/>
      </c>
      <c r="T153" s="2">
        <f>R153+S153+L153+M153</f>
        <v/>
      </c>
      <c r="U153">
        <f>IF(G153=0,0,E153/G153)</f>
        <v/>
      </c>
      <c r="V153">
        <f>IF(I153&gt;=95,"A",IF(I153&gt;=85,"B",IF(I153&gt;=75,"C","D")))</f>
        <v/>
      </c>
      <c r="W153">
        <f>ROUND((J153*35)+(I153*0.25)+(U153*0.2)+(IF(Q153&gt;0,100,MAX(0,100+Q153*100))*0.2),2)</f>
        <v/>
      </c>
      <c r="X153" s="2">
        <f>ROUND(T153*N153*IF(V153="A",1.25,IF(V153="B",1.1,IF(V153="C",0.9,0.5))),2)</f>
        <v/>
      </c>
      <c r="Y153">
        <f>IF(OR(I153&lt;80,J153&lt;0.75,E153&lt;D153*0.85),"HIGH",IF(OR(I153&lt;90,J153&lt;0.9),"MEDIUM","LOW"))</f>
        <v/>
      </c>
      <c r="Z153" s="2">
        <f>ROUND(E153*INDEX(Rules!$B$2:$B$6,MATCH(O153,Rules!$A$2:$A$6,0))*INDEX(Rules!$C$2:$C$5,MATCH(V153,Rules!$D$2:$D$5,0)),2)</f>
        <v/>
      </c>
      <c r="AA153" s="2">
        <f>Z153-T153-X153</f>
        <v/>
      </c>
      <c r="AB153" s="3">
        <f>IF(Z153=0,0,AA153/Z153)</f>
        <v/>
      </c>
      <c r="AC153">
        <f>UPPER(LEFT(A153,3)&amp;"-"&amp;LEFT(B153,3)&amp;"-"&amp;TEXT(ROW()-1,"000"))</f>
        <v/>
      </c>
      <c r="AD153">
        <f>INDEX(Rules!$E$2:$E$6,MATCH(O153,Rules!$A$2:$A$6,0))</f>
        <v/>
      </c>
      <c r="AE153" s="2">
        <f>ROUND(AA153*AD153,2)</f>
        <v/>
      </c>
      <c r="AF153">
        <f>RANK(W153,$W$2:$W$181,0)</f>
        <v/>
      </c>
      <c r="AG153">
        <f>IF(AND(AB153&gt;0.18,Y153="LOW"),"PASS",IF(AB153&gt;0.08,"WATCH","FAIL"))</f>
        <v/>
      </c>
      <c r="AH153">
        <f>IFERROR(IF(VLOOKUP(A153,Rules!$G$2:$H$13,2,FALSE)="Priority","Priority Region","Standard Region"),"Standard Region")</f>
        <v/>
      </c>
      <c r="AI153">
        <f>ROUND(SUMPRODUCT(E153:J153,{0.08,0.08,0.15,0.1,0.25,0.34}),2)</f>
        <v/>
      </c>
      <c r="AJ153" s="2">
        <f>ROUND(AE153*INDEX(Rules!$J$2:$J$5,MATCH(MONTH(K153),Rules!$I$2:$I$5,1)),2)</f>
        <v/>
      </c>
    </row>
    <row r="154">
      <c r="A154" t="inlineStr">
        <is>
          <t>Jizzakh</t>
        </is>
      </c>
      <c r="B154" t="inlineStr">
        <is>
          <t>North-2</t>
        </is>
      </c>
      <c r="C154" t="inlineStr">
        <is>
          <t>Bekzod Aliyev</t>
        </is>
      </c>
      <c r="D154" t="n">
        <v>131</v>
      </c>
      <c r="E154" t="n">
        <v>110</v>
      </c>
      <c r="F154" s="2" t="n">
        <v>232</v>
      </c>
      <c r="G154" t="n">
        <v>18</v>
      </c>
      <c r="H154" t="n">
        <v>19</v>
      </c>
      <c r="I154" t="n">
        <v>74</v>
      </c>
      <c r="J154" s="3" t="n">
        <v>0.8397</v>
      </c>
      <c r="K154" s="4" t="inlineStr">
        <is>
          <t>2026-09-01</t>
        </is>
      </c>
      <c r="L154" s="2" t="n">
        <v>112</v>
      </c>
      <c r="M154" s="2" t="n">
        <v>35</v>
      </c>
      <c r="N154" s="3" t="n">
        <v>0.0675</v>
      </c>
      <c r="O154" t="inlineStr">
        <is>
          <t>Tier-4</t>
        </is>
      </c>
      <c r="P154">
        <f>E154-D154</f>
        <v/>
      </c>
      <c r="Q154" s="3">
        <f>IF(D154=0,0,E154/D154-1)</f>
        <v/>
      </c>
      <c r="R154" s="2">
        <f>E154*F154</f>
        <v/>
      </c>
      <c r="S154" s="2">
        <f>H154*(F154*1.5/8)</f>
        <v/>
      </c>
      <c r="T154" s="2">
        <f>R154+S154+L154+M154</f>
        <v/>
      </c>
      <c r="U154">
        <f>IF(G154=0,0,E154/G154)</f>
        <v/>
      </c>
      <c r="V154">
        <f>IF(I154&gt;=95,"A",IF(I154&gt;=85,"B",IF(I154&gt;=75,"C","D")))</f>
        <v/>
      </c>
      <c r="W154">
        <f>ROUND((J154*35)+(I154*0.25)+(U154*0.2)+(IF(Q154&gt;0,100,MAX(0,100+Q154*100))*0.2),2)</f>
        <v/>
      </c>
      <c r="X154" s="2">
        <f>ROUND(T154*N154*IF(V154="A",1.25,IF(V154="B",1.1,IF(V154="C",0.9,0.5))),2)</f>
        <v/>
      </c>
      <c r="Y154">
        <f>IF(OR(I154&lt;80,J154&lt;0.75,E154&lt;D154*0.85),"HIGH",IF(OR(I154&lt;90,J154&lt;0.9),"MEDIUM","LOW"))</f>
        <v/>
      </c>
      <c r="Z154" s="2">
        <f>ROUND(E154*INDEX(Rules!$B$2:$B$6,MATCH(O154,Rules!$A$2:$A$6,0))*INDEX(Rules!$C$2:$C$5,MATCH(V154,Rules!$D$2:$D$5,0)),2)</f>
        <v/>
      </c>
      <c r="AA154" s="2">
        <f>Z154-T154-X154</f>
        <v/>
      </c>
      <c r="AB154" s="3">
        <f>IF(Z154=0,0,AA154/Z154)</f>
        <v/>
      </c>
      <c r="AC154">
        <f>UPPER(LEFT(A154,3)&amp;"-"&amp;LEFT(B154,3)&amp;"-"&amp;TEXT(ROW()-1,"000"))</f>
        <v/>
      </c>
      <c r="AD154">
        <f>INDEX(Rules!$E$2:$E$6,MATCH(O154,Rules!$A$2:$A$6,0))</f>
        <v/>
      </c>
      <c r="AE154" s="2">
        <f>ROUND(AA154*AD154,2)</f>
        <v/>
      </c>
      <c r="AF154">
        <f>RANK(W154,$W$2:$W$181,0)</f>
        <v/>
      </c>
      <c r="AG154">
        <f>IF(AND(AB154&gt;0.18,Y154="LOW"),"PASS",IF(AB154&gt;0.08,"WATCH","FAIL"))</f>
        <v/>
      </c>
      <c r="AH154">
        <f>IFERROR(IF(VLOOKUP(A154,Rules!$G$2:$H$13,2,FALSE)="Priority","Priority Region","Standard Region"),"Standard Region")</f>
        <v/>
      </c>
      <c r="AI154">
        <f>ROUND(SUMPRODUCT(E154:J154,{0.08,0.08,0.15,0.1,0.25,0.34}),2)</f>
        <v/>
      </c>
      <c r="AJ154" s="2">
        <f>ROUND(AE154*INDEX(Rules!$J$2:$J$5,MATCH(MONTH(K154),Rules!$I$2:$I$5,1)),2)</f>
        <v/>
      </c>
    </row>
    <row r="155">
      <c r="A155" t="inlineStr">
        <is>
          <t>Navoi</t>
        </is>
      </c>
      <c r="B155" t="inlineStr">
        <is>
          <t>South-3</t>
        </is>
      </c>
      <c r="C155" t="inlineStr">
        <is>
          <t>Dilshod Rustamov</t>
        </is>
      </c>
      <c r="D155" t="n">
        <v>138</v>
      </c>
      <c r="E155" t="n">
        <v>124</v>
      </c>
      <c r="F155" s="2" t="n">
        <v>115</v>
      </c>
      <c r="G155" t="n">
        <v>19</v>
      </c>
      <c r="H155" t="n">
        <v>0</v>
      </c>
      <c r="I155" t="n">
        <v>79</v>
      </c>
      <c r="J155" s="3" t="n">
        <v>0.8986</v>
      </c>
      <c r="K155" s="4" t="inlineStr">
        <is>
          <t>2026-10-01</t>
        </is>
      </c>
      <c r="L155" s="2" t="n">
        <v>120</v>
      </c>
      <c r="M155" s="2" t="n">
        <v>40</v>
      </c>
      <c r="N155" s="3" t="n">
        <v>0.08</v>
      </c>
      <c r="O155" t="inlineStr">
        <is>
          <t>Tier-5</t>
        </is>
      </c>
      <c r="P155">
        <f>E155-D155</f>
        <v/>
      </c>
      <c r="Q155" s="3">
        <f>IF(D155=0,0,E155/D155-1)</f>
        <v/>
      </c>
      <c r="R155" s="2">
        <f>E155*F155</f>
        <v/>
      </c>
      <c r="S155" s="2">
        <f>H155*(F155*1.5/8)</f>
        <v/>
      </c>
      <c r="T155" s="2">
        <f>R155+S155+L155+M155</f>
        <v/>
      </c>
      <c r="U155">
        <f>IF(G155=0,0,E155/G155)</f>
        <v/>
      </c>
      <c r="V155">
        <f>IF(I155&gt;=95,"A",IF(I155&gt;=85,"B",IF(I155&gt;=75,"C","D")))</f>
        <v/>
      </c>
      <c r="W155">
        <f>ROUND((J155*35)+(I155*0.25)+(U155*0.2)+(IF(Q155&gt;0,100,MAX(0,100+Q155*100))*0.2),2)</f>
        <v/>
      </c>
      <c r="X155" s="2">
        <f>ROUND(T155*N155*IF(V155="A",1.25,IF(V155="B",1.1,IF(V155="C",0.9,0.5))),2)</f>
        <v/>
      </c>
      <c r="Y155">
        <f>IF(OR(I155&lt;80,J155&lt;0.75,E155&lt;D155*0.85),"HIGH",IF(OR(I155&lt;90,J155&lt;0.9),"MEDIUM","LOW"))</f>
        <v/>
      </c>
      <c r="Z155" s="2">
        <f>ROUND(E155*INDEX(Rules!$B$2:$B$6,MATCH(O155,Rules!$A$2:$A$6,0))*INDEX(Rules!$C$2:$C$5,MATCH(V155,Rules!$D$2:$D$5,0)),2)</f>
        <v/>
      </c>
      <c r="AA155" s="2">
        <f>Z155-T155-X155</f>
        <v/>
      </c>
      <c r="AB155" s="3">
        <f>IF(Z155=0,0,AA155/Z155)</f>
        <v/>
      </c>
      <c r="AC155">
        <f>UPPER(LEFT(A155,3)&amp;"-"&amp;LEFT(B155,3)&amp;"-"&amp;TEXT(ROW()-1,"000"))</f>
        <v/>
      </c>
      <c r="AD155">
        <f>INDEX(Rules!$E$2:$E$6,MATCH(O155,Rules!$A$2:$A$6,0))</f>
        <v/>
      </c>
      <c r="AE155" s="2">
        <f>ROUND(AA155*AD155,2)</f>
        <v/>
      </c>
      <c r="AF155">
        <f>RANK(W155,$W$2:$W$181,0)</f>
        <v/>
      </c>
      <c r="AG155">
        <f>IF(AND(AB155&gt;0.18,Y155="LOW"),"PASS",IF(AB155&gt;0.08,"WATCH","FAIL"))</f>
        <v/>
      </c>
      <c r="AH155">
        <f>IFERROR(IF(VLOOKUP(A155,Rules!$G$2:$H$13,2,FALSE)="Priority","Priority Region","Standard Region"),"Standard Region")</f>
        <v/>
      </c>
      <c r="AI155">
        <f>ROUND(SUMPRODUCT(E155:J155,{0.08,0.08,0.15,0.1,0.25,0.34}),2)</f>
        <v/>
      </c>
      <c r="AJ155" s="2">
        <f>ROUND(AE155*INDEX(Rules!$J$2:$J$5,MATCH(MONTH(K155),Rules!$I$2:$I$5,1)),2)</f>
        <v/>
      </c>
    </row>
    <row r="156">
      <c r="A156" t="inlineStr">
        <is>
          <t>Syrdarya</t>
        </is>
      </c>
      <c r="B156" t="inlineStr">
        <is>
          <t>East-4</t>
        </is>
      </c>
      <c r="C156" t="inlineStr">
        <is>
          <t>Malika Ergasheva</t>
        </is>
      </c>
      <c r="D156" t="n">
        <v>145</v>
      </c>
      <c r="E156" t="n">
        <v>133</v>
      </c>
      <c r="F156" s="2" t="n">
        <v>124</v>
      </c>
      <c r="G156" t="n">
        <v>20</v>
      </c>
      <c r="H156" t="n">
        <v>3</v>
      </c>
      <c r="I156" t="n">
        <v>84</v>
      </c>
      <c r="J156" s="3" t="n">
        <v>0.9172</v>
      </c>
      <c r="K156" s="4" t="inlineStr">
        <is>
          <t>2026-11-01</t>
        </is>
      </c>
      <c r="L156" s="2" t="n">
        <v>128</v>
      </c>
      <c r="M156" s="2" t="n">
        <v>45</v>
      </c>
      <c r="N156" s="3" t="n">
        <v>0.0925</v>
      </c>
      <c r="O156" t="inlineStr">
        <is>
          <t>Tier-1</t>
        </is>
      </c>
      <c r="P156">
        <f>E156-D156</f>
        <v/>
      </c>
      <c r="Q156" s="3">
        <f>IF(D156=0,0,E156/D156-1)</f>
        <v/>
      </c>
      <c r="R156" s="2">
        <f>E156*F156</f>
        <v/>
      </c>
      <c r="S156" s="2">
        <f>H156*(F156*1.5/8)</f>
        <v/>
      </c>
      <c r="T156" s="2">
        <f>R156+S156+L156+M156</f>
        <v/>
      </c>
      <c r="U156">
        <f>IF(G156=0,0,E156/G156)</f>
        <v/>
      </c>
      <c r="V156">
        <f>IF(I156&gt;=95,"A",IF(I156&gt;=85,"B",IF(I156&gt;=75,"C","D")))</f>
        <v/>
      </c>
      <c r="W156">
        <f>ROUND((J156*35)+(I156*0.25)+(U156*0.2)+(IF(Q156&gt;0,100,MAX(0,100+Q156*100))*0.2),2)</f>
        <v/>
      </c>
      <c r="X156" s="2">
        <f>ROUND(T156*N156*IF(V156="A",1.25,IF(V156="B",1.1,IF(V156="C",0.9,0.5))),2)</f>
        <v/>
      </c>
      <c r="Y156">
        <f>IF(OR(I156&lt;80,J156&lt;0.75,E156&lt;D156*0.85),"HIGH",IF(OR(I156&lt;90,J156&lt;0.9),"MEDIUM","LOW"))</f>
        <v/>
      </c>
      <c r="Z156" s="2">
        <f>ROUND(E156*INDEX(Rules!$B$2:$B$6,MATCH(O156,Rules!$A$2:$A$6,0))*INDEX(Rules!$C$2:$C$5,MATCH(V156,Rules!$D$2:$D$5,0)),2)</f>
        <v/>
      </c>
      <c r="AA156" s="2">
        <f>Z156-T156-X156</f>
        <v/>
      </c>
      <c r="AB156" s="3">
        <f>IF(Z156=0,0,AA156/Z156)</f>
        <v/>
      </c>
      <c r="AC156">
        <f>UPPER(LEFT(A156,3)&amp;"-"&amp;LEFT(B156,3)&amp;"-"&amp;TEXT(ROW()-1,"000"))</f>
        <v/>
      </c>
      <c r="AD156">
        <f>INDEX(Rules!$E$2:$E$6,MATCH(O156,Rules!$A$2:$A$6,0))</f>
        <v/>
      </c>
      <c r="AE156" s="2">
        <f>ROUND(AA156*AD156,2)</f>
        <v/>
      </c>
      <c r="AF156">
        <f>RANK(W156,$W$2:$W$181,0)</f>
        <v/>
      </c>
      <c r="AG156">
        <f>IF(AND(AB156&gt;0.18,Y156="LOW"),"PASS",IF(AB156&gt;0.08,"WATCH","FAIL"))</f>
        <v/>
      </c>
      <c r="AH156">
        <f>IFERROR(IF(VLOOKUP(A156,Rules!$G$2:$H$13,2,FALSE)="Priority","Priority Region","Standard Region"),"Standard Region")</f>
        <v/>
      </c>
      <c r="AI156">
        <f>ROUND(SUMPRODUCT(E156:J156,{0.08,0.08,0.15,0.1,0.25,0.34}),2)</f>
        <v/>
      </c>
      <c r="AJ156" s="2">
        <f>ROUND(AE156*INDEX(Rules!$J$2:$J$5,MATCH(MONTH(K156),Rules!$I$2:$I$5,1)),2)</f>
        <v/>
      </c>
    </row>
    <row r="157">
      <c r="A157" t="inlineStr">
        <is>
          <t>Tashkent</t>
        </is>
      </c>
      <c r="B157" t="inlineStr">
        <is>
          <t>West-1</t>
        </is>
      </c>
      <c r="C157" t="inlineStr">
        <is>
          <t>Shahzod Islomov</t>
        </is>
      </c>
      <c r="D157" t="n">
        <v>152</v>
      </c>
      <c r="E157" t="n">
        <v>147</v>
      </c>
      <c r="F157" s="2" t="n">
        <v>133</v>
      </c>
      <c r="G157" t="n">
        <v>21</v>
      </c>
      <c r="H157" t="n">
        <v>6</v>
      </c>
      <c r="I157" t="n">
        <v>89</v>
      </c>
      <c r="J157" s="3" t="n">
        <v>0.9671</v>
      </c>
      <c r="K157" s="4" t="inlineStr">
        <is>
          <t>2026-12-01</t>
        </is>
      </c>
      <c r="L157" s="2" t="n">
        <v>40</v>
      </c>
      <c r="M157" s="2" t="n">
        <v>50</v>
      </c>
      <c r="N157" s="3" t="n">
        <v>0.03</v>
      </c>
      <c r="O157" t="inlineStr">
        <is>
          <t>Tier-2</t>
        </is>
      </c>
      <c r="P157">
        <f>E157-D157</f>
        <v/>
      </c>
      <c r="Q157" s="3">
        <f>IF(D157=0,0,E157/D157-1)</f>
        <v/>
      </c>
      <c r="R157" s="2">
        <f>E157*F157</f>
        <v/>
      </c>
      <c r="S157" s="2">
        <f>H157*(F157*1.5/8)</f>
        <v/>
      </c>
      <c r="T157" s="2">
        <f>R157+S157+L157+M157</f>
        <v/>
      </c>
      <c r="U157">
        <f>IF(G157=0,0,E157/G157)</f>
        <v/>
      </c>
      <c r="V157">
        <f>IF(I157&gt;=95,"A",IF(I157&gt;=85,"B",IF(I157&gt;=75,"C","D")))</f>
        <v/>
      </c>
      <c r="W157">
        <f>ROUND((J157*35)+(I157*0.25)+(U157*0.2)+(IF(Q157&gt;0,100,MAX(0,100+Q157*100))*0.2),2)</f>
        <v/>
      </c>
      <c r="X157" s="2">
        <f>ROUND(T157*N157*IF(V157="A",1.25,IF(V157="B",1.1,IF(V157="C",0.9,0.5))),2)</f>
        <v/>
      </c>
      <c r="Y157">
        <f>IF(OR(I157&lt;80,J157&lt;0.75,E157&lt;D157*0.85),"HIGH",IF(OR(I157&lt;90,J157&lt;0.9),"MEDIUM","LOW"))</f>
        <v/>
      </c>
      <c r="Z157" s="2">
        <f>ROUND(E157*INDEX(Rules!$B$2:$B$6,MATCH(O157,Rules!$A$2:$A$6,0))*INDEX(Rules!$C$2:$C$5,MATCH(V157,Rules!$D$2:$D$5,0)),2)</f>
        <v/>
      </c>
      <c r="AA157" s="2">
        <f>Z157-T157-X157</f>
        <v/>
      </c>
      <c r="AB157" s="3">
        <f>IF(Z157=0,0,AA157/Z157)</f>
        <v/>
      </c>
      <c r="AC157">
        <f>UPPER(LEFT(A157,3)&amp;"-"&amp;LEFT(B157,3)&amp;"-"&amp;TEXT(ROW()-1,"000"))</f>
        <v/>
      </c>
      <c r="AD157">
        <f>INDEX(Rules!$E$2:$E$6,MATCH(O157,Rules!$A$2:$A$6,0))</f>
        <v/>
      </c>
      <c r="AE157" s="2">
        <f>ROUND(AA157*AD157,2)</f>
        <v/>
      </c>
      <c r="AF157">
        <f>RANK(W157,$W$2:$W$181,0)</f>
        <v/>
      </c>
      <c r="AG157">
        <f>IF(AND(AB157&gt;0.18,Y157="LOW"),"PASS",IF(AB157&gt;0.08,"WATCH","FAIL"))</f>
        <v/>
      </c>
      <c r="AH157">
        <f>IFERROR(IF(VLOOKUP(A157,Rules!$G$2:$H$13,2,FALSE)="Priority","Priority Region","Standard Region"),"Standard Region")</f>
        <v/>
      </c>
      <c r="AI157">
        <f>ROUND(SUMPRODUCT(E157:J157,{0.08,0.08,0.15,0.1,0.25,0.34}),2)</f>
        <v/>
      </c>
      <c r="AJ157" s="2">
        <f>ROUND(AE157*INDEX(Rules!$J$2:$J$5,MATCH(MONTH(K157),Rules!$I$2:$I$5,1)),2)</f>
        <v/>
      </c>
    </row>
    <row r="158">
      <c r="A158" t="inlineStr">
        <is>
          <t>Samarkand</t>
        </is>
      </c>
      <c r="B158" t="inlineStr">
        <is>
          <t>Industrial-2</t>
        </is>
      </c>
      <c r="C158" t="inlineStr">
        <is>
          <t>Nilufar Tursunova</t>
        </is>
      </c>
      <c r="D158" t="n">
        <v>159</v>
      </c>
      <c r="E158" t="n">
        <v>161</v>
      </c>
      <c r="F158" s="2" t="n">
        <v>142</v>
      </c>
      <c r="G158" t="n">
        <v>22</v>
      </c>
      <c r="H158" t="n">
        <v>9</v>
      </c>
      <c r="I158" t="n">
        <v>94</v>
      </c>
      <c r="J158" s="3" t="n">
        <v>1.0126</v>
      </c>
      <c r="K158" s="4" t="inlineStr">
        <is>
          <t>2026-01-01</t>
        </is>
      </c>
      <c r="L158" s="2" t="n">
        <v>48</v>
      </c>
      <c r="M158" s="2" t="n">
        <v>55</v>
      </c>
      <c r="N158" s="3" t="n">
        <v>0.0425</v>
      </c>
      <c r="O158" t="inlineStr">
        <is>
          <t>Tier-3</t>
        </is>
      </c>
      <c r="P158">
        <f>E158-D158</f>
        <v/>
      </c>
      <c r="Q158" s="3">
        <f>IF(D158=0,0,E158/D158-1)</f>
        <v/>
      </c>
      <c r="R158" s="2">
        <f>E158*F158</f>
        <v/>
      </c>
      <c r="S158" s="2">
        <f>H158*(F158*1.5/8)</f>
        <v/>
      </c>
      <c r="T158" s="2">
        <f>R158+S158+L158+M158</f>
        <v/>
      </c>
      <c r="U158">
        <f>IF(G158=0,0,E158/G158)</f>
        <v/>
      </c>
      <c r="V158">
        <f>IF(I158&gt;=95,"A",IF(I158&gt;=85,"B",IF(I158&gt;=75,"C","D")))</f>
        <v/>
      </c>
      <c r="W158">
        <f>ROUND((J158*35)+(I158*0.25)+(U158*0.2)+(IF(Q158&gt;0,100,MAX(0,100+Q158*100))*0.2),2)</f>
        <v/>
      </c>
      <c r="X158" s="2">
        <f>ROUND(T158*N158*IF(V158="A",1.25,IF(V158="B",1.1,IF(V158="C",0.9,0.5))),2)</f>
        <v/>
      </c>
      <c r="Y158">
        <f>IF(OR(I158&lt;80,J158&lt;0.75,E158&lt;D158*0.85),"HIGH",IF(OR(I158&lt;90,J158&lt;0.9),"MEDIUM","LOW"))</f>
        <v/>
      </c>
      <c r="Z158" s="2">
        <f>ROUND(E158*INDEX(Rules!$B$2:$B$6,MATCH(O158,Rules!$A$2:$A$6,0))*INDEX(Rules!$C$2:$C$5,MATCH(V158,Rules!$D$2:$D$5,0)),2)</f>
        <v/>
      </c>
      <c r="AA158" s="2">
        <f>Z158-T158-X158</f>
        <v/>
      </c>
      <c r="AB158" s="3">
        <f>IF(Z158=0,0,AA158/Z158)</f>
        <v/>
      </c>
      <c r="AC158">
        <f>UPPER(LEFT(A158,3)&amp;"-"&amp;LEFT(B158,3)&amp;"-"&amp;TEXT(ROW()-1,"000"))</f>
        <v/>
      </c>
      <c r="AD158">
        <f>INDEX(Rules!$E$2:$E$6,MATCH(O158,Rules!$A$2:$A$6,0))</f>
        <v/>
      </c>
      <c r="AE158" s="2">
        <f>ROUND(AA158*AD158,2)</f>
        <v/>
      </c>
      <c r="AF158">
        <f>RANK(W158,$W$2:$W$181,0)</f>
        <v/>
      </c>
      <c r="AG158">
        <f>IF(AND(AB158&gt;0.18,Y158="LOW"),"PASS",IF(AB158&gt;0.08,"WATCH","FAIL"))</f>
        <v/>
      </c>
      <c r="AH158">
        <f>IFERROR(IF(VLOOKUP(A158,Rules!$G$2:$H$13,2,FALSE)="Priority","Priority Region","Standard Region"),"Standard Region")</f>
        <v/>
      </c>
      <c r="AI158">
        <f>ROUND(SUMPRODUCT(E158:J158,{0.08,0.08,0.15,0.1,0.25,0.34}),2)</f>
        <v/>
      </c>
      <c r="AJ158" s="2">
        <f>ROUND(AE158*INDEX(Rules!$J$2:$J$5,MATCH(MONTH(K158),Rules!$I$2:$I$5,1)),2)</f>
        <v/>
      </c>
    </row>
    <row r="159">
      <c r="A159" t="inlineStr">
        <is>
          <t>Bukhara</t>
        </is>
      </c>
      <c r="B159" t="inlineStr">
        <is>
          <t>Rural-3</t>
        </is>
      </c>
      <c r="C159" t="inlineStr">
        <is>
          <t>Sardor Jabborov</t>
        </is>
      </c>
      <c r="D159" t="n">
        <v>166</v>
      </c>
      <c r="E159" t="n">
        <v>175</v>
      </c>
      <c r="F159" s="2" t="n">
        <v>151</v>
      </c>
      <c r="G159" t="n">
        <v>23</v>
      </c>
      <c r="H159" t="n">
        <v>12</v>
      </c>
      <c r="I159" t="n">
        <v>99</v>
      </c>
      <c r="J159" s="3" t="n">
        <v>1.0542</v>
      </c>
      <c r="K159" s="4" t="inlineStr">
        <is>
          <t>2026-02-01</t>
        </is>
      </c>
      <c r="L159" s="2" t="n">
        <v>56</v>
      </c>
      <c r="M159" s="2" t="n">
        <v>60</v>
      </c>
      <c r="N159" s="3" t="n">
        <v>0.055</v>
      </c>
      <c r="O159" t="inlineStr">
        <is>
          <t>Tier-4</t>
        </is>
      </c>
      <c r="P159">
        <f>E159-D159</f>
        <v/>
      </c>
      <c r="Q159" s="3">
        <f>IF(D159=0,0,E159/D159-1)</f>
        <v/>
      </c>
      <c r="R159" s="2">
        <f>E159*F159</f>
        <v/>
      </c>
      <c r="S159" s="2">
        <f>H159*(F159*1.5/8)</f>
        <v/>
      </c>
      <c r="T159" s="2">
        <f>R159+S159+L159+M159</f>
        <v/>
      </c>
      <c r="U159">
        <f>IF(G159=0,0,E159/G159)</f>
        <v/>
      </c>
      <c r="V159">
        <f>IF(I159&gt;=95,"A",IF(I159&gt;=85,"B",IF(I159&gt;=75,"C","D")))</f>
        <v/>
      </c>
      <c r="W159">
        <f>ROUND((J159*35)+(I159*0.25)+(U159*0.2)+(IF(Q159&gt;0,100,MAX(0,100+Q159*100))*0.2),2)</f>
        <v/>
      </c>
      <c r="X159" s="2">
        <f>ROUND(T159*N159*IF(V159="A",1.25,IF(V159="B",1.1,IF(V159="C",0.9,0.5))),2)</f>
        <v/>
      </c>
      <c r="Y159">
        <f>IF(OR(I159&lt;80,J159&lt;0.75,E159&lt;D159*0.85),"HIGH",IF(OR(I159&lt;90,J159&lt;0.9),"MEDIUM","LOW"))</f>
        <v/>
      </c>
      <c r="Z159" s="2">
        <f>ROUND(E159*INDEX(Rules!$B$2:$B$6,MATCH(O159,Rules!$A$2:$A$6,0))*INDEX(Rules!$C$2:$C$5,MATCH(V159,Rules!$D$2:$D$5,0)),2)</f>
        <v/>
      </c>
      <c r="AA159" s="2">
        <f>Z159-T159-X159</f>
        <v/>
      </c>
      <c r="AB159" s="3">
        <f>IF(Z159=0,0,AA159/Z159)</f>
        <v/>
      </c>
      <c r="AC159">
        <f>UPPER(LEFT(A159,3)&amp;"-"&amp;LEFT(B159,3)&amp;"-"&amp;TEXT(ROW()-1,"000"))</f>
        <v/>
      </c>
      <c r="AD159">
        <f>INDEX(Rules!$E$2:$E$6,MATCH(O159,Rules!$A$2:$A$6,0))</f>
        <v/>
      </c>
      <c r="AE159" s="2">
        <f>ROUND(AA159*AD159,2)</f>
        <v/>
      </c>
      <c r="AF159">
        <f>RANK(W159,$W$2:$W$181,0)</f>
        <v/>
      </c>
      <c r="AG159">
        <f>IF(AND(AB159&gt;0.18,Y159="LOW"),"PASS",IF(AB159&gt;0.08,"WATCH","FAIL"))</f>
        <v/>
      </c>
      <c r="AH159">
        <f>IFERROR(IF(VLOOKUP(A159,Rules!$G$2:$H$13,2,FALSE)="Priority","Priority Region","Standard Region"),"Standard Region")</f>
        <v/>
      </c>
      <c r="AI159">
        <f>ROUND(SUMPRODUCT(E159:J159,{0.08,0.08,0.15,0.1,0.25,0.34}),2)</f>
        <v/>
      </c>
      <c r="AJ159" s="2">
        <f>ROUND(AE159*INDEX(Rules!$J$2:$J$5,MATCH(MONTH(K159),Rules!$I$2:$I$5,1)),2)</f>
        <v/>
      </c>
    </row>
    <row r="160">
      <c r="A160" t="inlineStr">
        <is>
          <t>Andijan</t>
        </is>
      </c>
      <c r="B160" t="inlineStr">
        <is>
          <t>Urban-4</t>
        </is>
      </c>
      <c r="C160" t="inlineStr">
        <is>
          <t>Kamola Rahimova</t>
        </is>
      </c>
      <c r="D160" t="n">
        <v>173</v>
      </c>
      <c r="E160" t="n">
        <v>189</v>
      </c>
      <c r="F160" s="2" t="n">
        <v>160</v>
      </c>
      <c r="G160" t="n">
        <v>24</v>
      </c>
      <c r="H160" t="n">
        <v>15</v>
      </c>
      <c r="I160" t="n">
        <v>71</v>
      </c>
      <c r="J160" s="3" t="n">
        <v>1.0925</v>
      </c>
      <c r="K160" s="4" t="inlineStr">
        <is>
          <t>2026-03-01</t>
        </is>
      </c>
      <c r="L160" s="2" t="n">
        <v>64</v>
      </c>
      <c r="M160" s="2" t="n">
        <v>65</v>
      </c>
      <c r="N160" s="3" t="n">
        <v>0.0675</v>
      </c>
      <c r="O160" t="inlineStr">
        <is>
          <t>Tier-5</t>
        </is>
      </c>
      <c r="P160">
        <f>E160-D160</f>
        <v/>
      </c>
      <c r="Q160" s="3">
        <f>IF(D160=0,0,E160/D160-1)</f>
        <v/>
      </c>
      <c r="R160" s="2">
        <f>E160*F160</f>
        <v/>
      </c>
      <c r="S160" s="2">
        <f>H160*(F160*1.5/8)</f>
        <v/>
      </c>
      <c r="T160" s="2">
        <f>R160+S160+L160+M160</f>
        <v/>
      </c>
      <c r="U160">
        <f>IF(G160=0,0,E160/G160)</f>
        <v/>
      </c>
      <c r="V160">
        <f>IF(I160&gt;=95,"A",IF(I160&gt;=85,"B",IF(I160&gt;=75,"C","D")))</f>
        <v/>
      </c>
      <c r="W160">
        <f>ROUND((J160*35)+(I160*0.25)+(U160*0.2)+(IF(Q160&gt;0,100,MAX(0,100+Q160*100))*0.2),2)</f>
        <v/>
      </c>
      <c r="X160" s="2">
        <f>ROUND(T160*N160*IF(V160="A",1.25,IF(V160="B",1.1,IF(V160="C",0.9,0.5))),2)</f>
        <v/>
      </c>
      <c r="Y160">
        <f>IF(OR(I160&lt;80,J160&lt;0.75,E160&lt;D160*0.85),"HIGH",IF(OR(I160&lt;90,J160&lt;0.9),"MEDIUM","LOW"))</f>
        <v/>
      </c>
      <c r="Z160" s="2">
        <f>ROUND(E160*INDEX(Rules!$B$2:$B$6,MATCH(O160,Rules!$A$2:$A$6,0))*INDEX(Rules!$C$2:$C$5,MATCH(V160,Rules!$D$2:$D$5,0)),2)</f>
        <v/>
      </c>
      <c r="AA160" s="2">
        <f>Z160-T160-X160</f>
        <v/>
      </c>
      <c r="AB160" s="3">
        <f>IF(Z160=0,0,AA160/Z160)</f>
        <v/>
      </c>
      <c r="AC160">
        <f>UPPER(LEFT(A160,3)&amp;"-"&amp;LEFT(B160,3)&amp;"-"&amp;TEXT(ROW()-1,"000"))</f>
        <v/>
      </c>
      <c r="AD160">
        <f>INDEX(Rules!$E$2:$E$6,MATCH(O160,Rules!$A$2:$A$6,0))</f>
        <v/>
      </c>
      <c r="AE160" s="2">
        <f>ROUND(AA160*AD160,2)</f>
        <v/>
      </c>
      <c r="AF160">
        <f>RANK(W160,$W$2:$W$181,0)</f>
        <v/>
      </c>
      <c r="AG160">
        <f>IF(AND(AB160&gt;0.18,Y160="LOW"),"PASS",IF(AB160&gt;0.08,"WATCH","FAIL"))</f>
        <v/>
      </c>
      <c r="AH160">
        <f>IFERROR(IF(VLOOKUP(A160,Rules!$G$2:$H$13,2,FALSE)="Priority","Priority Region","Standard Region"),"Standard Region")</f>
        <v/>
      </c>
      <c r="AI160">
        <f>ROUND(SUMPRODUCT(E160:J160,{0.08,0.08,0.15,0.1,0.25,0.34}),2)</f>
        <v/>
      </c>
      <c r="AJ160" s="2">
        <f>ROUND(AE160*INDEX(Rules!$J$2:$J$5,MATCH(MONTH(K160),Rules!$I$2:$I$5,1)),2)</f>
        <v/>
      </c>
    </row>
    <row r="161">
      <c r="A161" t="inlineStr">
        <is>
          <t>Namangan</t>
        </is>
      </c>
      <c r="B161" t="inlineStr">
        <is>
          <t>Central-1</t>
        </is>
      </c>
      <c r="C161" t="inlineStr">
        <is>
          <t>Aziza Karimova</t>
        </is>
      </c>
      <c r="D161" t="n">
        <v>180</v>
      </c>
      <c r="E161" t="n">
        <v>198</v>
      </c>
      <c r="F161" s="2" t="n">
        <v>169</v>
      </c>
      <c r="G161" t="n">
        <v>25</v>
      </c>
      <c r="H161" t="n">
        <v>18</v>
      </c>
      <c r="I161" t="n">
        <v>76</v>
      </c>
      <c r="J161" s="3" t="n">
        <v>1.1</v>
      </c>
      <c r="K161" s="4" t="inlineStr">
        <is>
          <t>2026-04-01</t>
        </is>
      </c>
      <c r="L161" s="2" t="n">
        <v>72</v>
      </c>
      <c r="M161" s="2" t="n">
        <v>20</v>
      </c>
      <c r="N161" s="3" t="n">
        <v>0.08</v>
      </c>
      <c r="O161" t="inlineStr">
        <is>
          <t>Tier-1</t>
        </is>
      </c>
      <c r="P161">
        <f>E161-D161</f>
        <v/>
      </c>
      <c r="Q161" s="3">
        <f>IF(D161=0,0,E161/D161-1)</f>
        <v/>
      </c>
      <c r="R161" s="2">
        <f>E161*F161</f>
        <v/>
      </c>
      <c r="S161" s="2">
        <f>H161*(F161*1.5/8)</f>
        <v/>
      </c>
      <c r="T161" s="2">
        <f>R161+S161+L161+M161</f>
        <v/>
      </c>
      <c r="U161">
        <f>IF(G161=0,0,E161/G161)</f>
        <v/>
      </c>
      <c r="V161">
        <f>IF(I161&gt;=95,"A",IF(I161&gt;=85,"B",IF(I161&gt;=75,"C","D")))</f>
        <v/>
      </c>
      <c r="W161">
        <f>ROUND((J161*35)+(I161*0.25)+(U161*0.2)+(IF(Q161&gt;0,100,MAX(0,100+Q161*100))*0.2),2)</f>
        <v/>
      </c>
      <c r="X161" s="2">
        <f>ROUND(T161*N161*IF(V161="A",1.25,IF(V161="B",1.1,IF(V161="C",0.9,0.5))),2)</f>
        <v/>
      </c>
      <c r="Y161">
        <f>IF(OR(I161&lt;80,J161&lt;0.75,E161&lt;D161*0.85),"HIGH",IF(OR(I161&lt;90,J161&lt;0.9),"MEDIUM","LOW"))</f>
        <v/>
      </c>
      <c r="Z161" s="2">
        <f>ROUND(E161*INDEX(Rules!$B$2:$B$6,MATCH(O161,Rules!$A$2:$A$6,0))*INDEX(Rules!$C$2:$C$5,MATCH(V161,Rules!$D$2:$D$5,0)),2)</f>
        <v/>
      </c>
      <c r="AA161" s="2">
        <f>Z161-T161-X161</f>
        <v/>
      </c>
      <c r="AB161" s="3">
        <f>IF(Z161=0,0,AA161/Z161)</f>
        <v/>
      </c>
      <c r="AC161">
        <f>UPPER(LEFT(A161,3)&amp;"-"&amp;LEFT(B161,3)&amp;"-"&amp;TEXT(ROW()-1,"000"))</f>
        <v/>
      </c>
      <c r="AD161">
        <f>INDEX(Rules!$E$2:$E$6,MATCH(O161,Rules!$A$2:$A$6,0))</f>
        <v/>
      </c>
      <c r="AE161" s="2">
        <f>ROUND(AA161*AD161,2)</f>
        <v/>
      </c>
      <c r="AF161">
        <f>RANK(W161,$W$2:$W$181,0)</f>
        <v/>
      </c>
      <c r="AG161">
        <f>IF(AND(AB161&gt;0.18,Y161="LOW"),"PASS",IF(AB161&gt;0.08,"WATCH","FAIL"))</f>
        <v/>
      </c>
      <c r="AH161">
        <f>IFERROR(IF(VLOOKUP(A161,Rules!$G$2:$H$13,2,FALSE)="Priority","Priority Region","Standard Region"),"Standard Region")</f>
        <v/>
      </c>
      <c r="AI161">
        <f>ROUND(SUMPRODUCT(E161:J161,{0.08,0.08,0.15,0.1,0.25,0.34}),2)</f>
        <v/>
      </c>
      <c r="AJ161" s="2">
        <f>ROUND(AE161*INDEX(Rules!$J$2:$J$5,MATCH(MONTH(K161),Rules!$I$2:$I$5,1)),2)</f>
        <v/>
      </c>
    </row>
    <row r="162">
      <c r="A162" t="inlineStr">
        <is>
          <t>Fergana</t>
        </is>
      </c>
      <c r="B162" t="inlineStr">
        <is>
          <t>North-2</t>
        </is>
      </c>
      <c r="C162" t="inlineStr">
        <is>
          <t>Bekzod Aliyev</t>
        </is>
      </c>
      <c r="D162" t="n">
        <v>187</v>
      </c>
      <c r="E162" t="n">
        <v>212</v>
      </c>
      <c r="F162" s="2" t="n">
        <v>178</v>
      </c>
      <c r="G162" t="n">
        <v>26</v>
      </c>
      <c r="H162" t="n">
        <v>21</v>
      </c>
      <c r="I162" t="n">
        <v>81</v>
      </c>
      <c r="J162" s="3" t="n">
        <v>1.1337</v>
      </c>
      <c r="K162" s="4" t="inlineStr">
        <is>
          <t>2026-05-01</t>
        </is>
      </c>
      <c r="L162" s="2" t="n">
        <v>80</v>
      </c>
      <c r="M162" s="2" t="n">
        <v>25</v>
      </c>
      <c r="N162" s="3" t="n">
        <v>0.0925</v>
      </c>
      <c r="O162" t="inlineStr">
        <is>
          <t>Tier-2</t>
        </is>
      </c>
      <c r="P162">
        <f>E162-D162</f>
        <v/>
      </c>
      <c r="Q162" s="3">
        <f>IF(D162=0,0,E162/D162-1)</f>
        <v/>
      </c>
      <c r="R162" s="2">
        <f>E162*F162</f>
        <v/>
      </c>
      <c r="S162" s="2">
        <f>H162*(F162*1.5/8)</f>
        <v/>
      </c>
      <c r="T162" s="2">
        <f>R162+S162+L162+M162</f>
        <v/>
      </c>
      <c r="U162">
        <f>IF(G162=0,0,E162/G162)</f>
        <v/>
      </c>
      <c r="V162">
        <f>IF(I162&gt;=95,"A",IF(I162&gt;=85,"B",IF(I162&gt;=75,"C","D")))</f>
        <v/>
      </c>
      <c r="W162">
        <f>ROUND((J162*35)+(I162*0.25)+(U162*0.2)+(IF(Q162&gt;0,100,MAX(0,100+Q162*100))*0.2),2)</f>
        <v/>
      </c>
      <c r="X162" s="2">
        <f>ROUND(T162*N162*IF(V162="A",1.25,IF(V162="B",1.1,IF(V162="C",0.9,0.5))),2)</f>
        <v/>
      </c>
      <c r="Y162">
        <f>IF(OR(I162&lt;80,J162&lt;0.75,E162&lt;D162*0.85),"HIGH",IF(OR(I162&lt;90,J162&lt;0.9),"MEDIUM","LOW"))</f>
        <v/>
      </c>
      <c r="Z162" s="2">
        <f>ROUND(E162*INDEX(Rules!$B$2:$B$6,MATCH(O162,Rules!$A$2:$A$6,0))*INDEX(Rules!$C$2:$C$5,MATCH(V162,Rules!$D$2:$D$5,0)),2)</f>
        <v/>
      </c>
      <c r="AA162" s="2">
        <f>Z162-T162-X162</f>
        <v/>
      </c>
      <c r="AB162" s="3">
        <f>IF(Z162=0,0,AA162/Z162)</f>
        <v/>
      </c>
      <c r="AC162">
        <f>UPPER(LEFT(A162,3)&amp;"-"&amp;LEFT(B162,3)&amp;"-"&amp;TEXT(ROW()-1,"000"))</f>
        <v/>
      </c>
      <c r="AD162">
        <f>INDEX(Rules!$E$2:$E$6,MATCH(O162,Rules!$A$2:$A$6,0))</f>
        <v/>
      </c>
      <c r="AE162" s="2">
        <f>ROUND(AA162*AD162,2)</f>
        <v/>
      </c>
      <c r="AF162">
        <f>RANK(W162,$W$2:$W$181,0)</f>
        <v/>
      </c>
      <c r="AG162">
        <f>IF(AND(AB162&gt;0.18,Y162="LOW"),"PASS",IF(AB162&gt;0.08,"WATCH","FAIL"))</f>
        <v/>
      </c>
      <c r="AH162">
        <f>IFERROR(IF(VLOOKUP(A162,Rules!$G$2:$H$13,2,FALSE)="Priority","Priority Region","Standard Region"),"Standard Region")</f>
        <v/>
      </c>
      <c r="AI162">
        <f>ROUND(SUMPRODUCT(E162:J162,{0.08,0.08,0.15,0.1,0.25,0.34}),2)</f>
        <v/>
      </c>
      <c r="AJ162" s="2">
        <f>ROUND(AE162*INDEX(Rules!$J$2:$J$5,MATCH(MONTH(K162),Rules!$I$2:$I$5,1)),2)</f>
        <v/>
      </c>
    </row>
    <row r="163">
      <c r="A163" t="inlineStr">
        <is>
          <t>Kashkadarya</t>
        </is>
      </c>
      <c r="B163" t="inlineStr">
        <is>
          <t>South-3</t>
        </is>
      </c>
      <c r="C163" t="inlineStr">
        <is>
          <t>Dilshod Rustamov</t>
        </is>
      </c>
      <c r="D163" t="n">
        <v>194</v>
      </c>
      <c r="E163" t="n">
        <v>172</v>
      </c>
      <c r="F163" s="2" t="n">
        <v>187</v>
      </c>
      <c r="G163" t="n">
        <v>18</v>
      </c>
      <c r="H163" t="n">
        <v>2</v>
      </c>
      <c r="I163" t="n">
        <v>86</v>
      </c>
      <c r="J163" s="3" t="n">
        <v>0.8866000000000001</v>
      </c>
      <c r="K163" s="4" t="inlineStr">
        <is>
          <t>2026-06-01</t>
        </is>
      </c>
      <c r="L163" s="2" t="n">
        <v>88</v>
      </c>
      <c r="M163" s="2" t="n">
        <v>30</v>
      </c>
      <c r="N163" s="3" t="n">
        <v>0.03</v>
      </c>
      <c r="O163" t="inlineStr">
        <is>
          <t>Tier-3</t>
        </is>
      </c>
      <c r="P163">
        <f>E163-D163</f>
        <v/>
      </c>
      <c r="Q163" s="3">
        <f>IF(D163=0,0,E163/D163-1)</f>
        <v/>
      </c>
      <c r="R163" s="2">
        <f>E163*F163</f>
        <v/>
      </c>
      <c r="S163" s="2">
        <f>H163*(F163*1.5/8)</f>
        <v/>
      </c>
      <c r="T163" s="2">
        <f>R163+S163+L163+M163</f>
        <v/>
      </c>
      <c r="U163">
        <f>IF(G163=0,0,E163/G163)</f>
        <v/>
      </c>
      <c r="V163">
        <f>IF(I163&gt;=95,"A",IF(I163&gt;=85,"B",IF(I163&gt;=75,"C","D")))</f>
        <v/>
      </c>
      <c r="W163">
        <f>ROUND((J163*35)+(I163*0.25)+(U163*0.2)+(IF(Q163&gt;0,100,MAX(0,100+Q163*100))*0.2),2)</f>
        <v/>
      </c>
      <c r="X163" s="2">
        <f>ROUND(T163*N163*IF(V163="A",1.25,IF(V163="B",1.1,IF(V163="C",0.9,0.5))),2)</f>
        <v/>
      </c>
      <c r="Y163">
        <f>IF(OR(I163&lt;80,J163&lt;0.75,E163&lt;D163*0.85),"HIGH",IF(OR(I163&lt;90,J163&lt;0.9),"MEDIUM","LOW"))</f>
        <v/>
      </c>
      <c r="Z163" s="2">
        <f>ROUND(E163*INDEX(Rules!$B$2:$B$6,MATCH(O163,Rules!$A$2:$A$6,0))*INDEX(Rules!$C$2:$C$5,MATCH(V163,Rules!$D$2:$D$5,0)),2)</f>
        <v/>
      </c>
      <c r="AA163" s="2">
        <f>Z163-T163-X163</f>
        <v/>
      </c>
      <c r="AB163" s="3">
        <f>IF(Z163=0,0,AA163/Z163)</f>
        <v/>
      </c>
      <c r="AC163">
        <f>UPPER(LEFT(A163,3)&amp;"-"&amp;LEFT(B163,3)&amp;"-"&amp;TEXT(ROW()-1,"000"))</f>
        <v/>
      </c>
      <c r="AD163">
        <f>INDEX(Rules!$E$2:$E$6,MATCH(O163,Rules!$A$2:$A$6,0))</f>
        <v/>
      </c>
      <c r="AE163" s="2">
        <f>ROUND(AA163*AD163,2)</f>
        <v/>
      </c>
      <c r="AF163">
        <f>RANK(W163,$W$2:$W$181,0)</f>
        <v/>
      </c>
      <c r="AG163">
        <f>IF(AND(AB163&gt;0.18,Y163="LOW"),"PASS",IF(AB163&gt;0.08,"WATCH","FAIL"))</f>
        <v/>
      </c>
      <c r="AH163">
        <f>IFERROR(IF(VLOOKUP(A163,Rules!$G$2:$H$13,2,FALSE)="Priority","Priority Region","Standard Region"),"Standard Region")</f>
        <v/>
      </c>
      <c r="AI163">
        <f>ROUND(SUMPRODUCT(E163:J163,{0.08,0.08,0.15,0.1,0.25,0.34}),2)</f>
        <v/>
      </c>
      <c r="AJ163" s="2">
        <f>ROUND(AE163*INDEX(Rules!$J$2:$J$5,MATCH(MONTH(K163),Rules!$I$2:$I$5,1)),2)</f>
        <v/>
      </c>
    </row>
    <row r="164">
      <c r="A164" t="inlineStr">
        <is>
          <t>Surkhandarya</t>
        </is>
      </c>
      <c r="B164" t="inlineStr">
        <is>
          <t>East-4</t>
        </is>
      </c>
      <c r="C164" t="inlineStr">
        <is>
          <t>Malika Ergasheva</t>
        </is>
      </c>
      <c r="D164" t="n">
        <v>201</v>
      </c>
      <c r="E164" t="n">
        <v>186</v>
      </c>
      <c r="F164" s="2" t="n">
        <v>196</v>
      </c>
      <c r="G164" t="n">
        <v>19</v>
      </c>
      <c r="H164" t="n">
        <v>5</v>
      </c>
      <c r="I164" t="n">
        <v>91</v>
      </c>
      <c r="J164" s="3" t="n">
        <v>0.9254</v>
      </c>
      <c r="K164" s="4" t="inlineStr">
        <is>
          <t>2026-07-01</t>
        </is>
      </c>
      <c r="L164" s="2" t="n">
        <v>96</v>
      </c>
      <c r="M164" s="2" t="n">
        <v>35</v>
      </c>
      <c r="N164" s="3" t="n">
        <v>0.0425</v>
      </c>
      <c r="O164" t="inlineStr">
        <is>
          <t>Tier-4</t>
        </is>
      </c>
      <c r="P164">
        <f>E164-D164</f>
        <v/>
      </c>
      <c r="Q164" s="3">
        <f>IF(D164=0,0,E164/D164-1)</f>
        <v/>
      </c>
      <c r="R164" s="2">
        <f>E164*F164</f>
        <v/>
      </c>
      <c r="S164" s="2">
        <f>H164*(F164*1.5/8)</f>
        <v/>
      </c>
      <c r="T164" s="2">
        <f>R164+S164+L164+M164</f>
        <v/>
      </c>
      <c r="U164">
        <f>IF(G164=0,0,E164/G164)</f>
        <v/>
      </c>
      <c r="V164">
        <f>IF(I164&gt;=95,"A",IF(I164&gt;=85,"B",IF(I164&gt;=75,"C","D")))</f>
        <v/>
      </c>
      <c r="W164">
        <f>ROUND((J164*35)+(I164*0.25)+(U164*0.2)+(IF(Q164&gt;0,100,MAX(0,100+Q164*100))*0.2),2)</f>
        <v/>
      </c>
      <c r="X164" s="2">
        <f>ROUND(T164*N164*IF(V164="A",1.25,IF(V164="B",1.1,IF(V164="C",0.9,0.5))),2)</f>
        <v/>
      </c>
      <c r="Y164">
        <f>IF(OR(I164&lt;80,J164&lt;0.75,E164&lt;D164*0.85),"HIGH",IF(OR(I164&lt;90,J164&lt;0.9),"MEDIUM","LOW"))</f>
        <v/>
      </c>
      <c r="Z164" s="2">
        <f>ROUND(E164*INDEX(Rules!$B$2:$B$6,MATCH(O164,Rules!$A$2:$A$6,0))*INDEX(Rules!$C$2:$C$5,MATCH(V164,Rules!$D$2:$D$5,0)),2)</f>
        <v/>
      </c>
      <c r="AA164" s="2">
        <f>Z164-T164-X164</f>
        <v/>
      </c>
      <c r="AB164" s="3">
        <f>IF(Z164=0,0,AA164/Z164)</f>
        <v/>
      </c>
      <c r="AC164">
        <f>UPPER(LEFT(A164,3)&amp;"-"&amp;LEFT(B164,3)&amp;"-"&amp;TEXT(ROW()-1,"000"))</f>
        <v/>
      </c>
      <c r="AD164">
        <f>INDEX(Rules!$E$2:$E$6,MATCH(O164,Rules!$A$2:$A$6,0))</f>
        <v/>
      </c>
      <c r="AE164" s="2">
        <f>ROUND(AA164*AD164,2)</f>
        <v/>
      </c>
      <c r="AF164">
        <f>RANK(W164,$W$2:$W$181,0)</f>
        <v/>
      </c>
      <c r="AG164">
        <f>IF(AND(AB164&gt;0.18,Y164="LOW"),"PASS",IF(AB164&gt;0.08,"WATCH","FAIL"))</f>
        <v/>
      </c>
      <c r="AH164">
        <f>IFERROR(IF(VLOOKUP(A164,Rules!$G$2:$H$13,2,FALSE)="Priority","Priority Region","Standard Region"),"Standard Region")</f>
        <v/>
      </c>
      <c r="AI164">
        <f>ROUND(SUMPRODUCT(E164:J164,{0.08,0.08,0.15,0.1,0.25,0.34}),2)</f>
        <v/>
      </c>
      <c r="AJ164" s="2">
        <f>ROUND(AE164*INDEX(Rules!$J$2:$J$5,MATCH(MONTH(K164),Rules!$I$2:$I$5,1)),2)</f>
        <v/>
      </c>
    </row>
    <row r="165">
      <c r="A165" t="inlineStr">
        <is>
          <t>Khorezm</t>
        </is>
      </c>
      <c r="B165" t="inlineStr">
        <is>
          <t>West-1</t>
        </is>
      </c>
      <c r="C165" t="inlineStr">
        <is>
          <t>Shahzod Islomov</t>
        </is>
      </c>
      <c r="D165" t="n">
        <v>208</v>
      </c>
      <c r="E165" t="n">
        <v>200</v>
      </c>
      <c r="F165" s="2" t="n">
        <v>205</v>
      </c>
      <c r="G165" t="n">
        <v>20</v>
      </c>
      <c r="H165" t="n">
        <v>8</v>
      </c>
      <c r="I165" t="n">
        <v>96</v>
      </c>
      <c r="J165" s="3" t="n">
        <v>0.9615</v>
      </c>
      <c r="K165" s="4" t="inlineStr">
        <is>
          <t>2026-08-01</t>
        </is>
      </c>
      <c r="L165" s="2" t="n">
        <v>104</v>
      </c>
      <c r="M165" s="2" t="n">
        <v>40</v>
      </c>
      <c r="N165" s="3" t="n">
        <v>0.055</v>
      </c>
      <c r="O165" t="inlineStr">
        <is>
          <t>Tier-5</t>
        </is>
      </c>
      <c r="P165">
        <f>E165-D165</f>
        <v/>
      </c>
      <c r="Q165" s="3">
        <f>IF(D165=0,0,E165/D165-1)</f>
        <v/>
      </c>
      <c r="R165" s="2">
        <f>E165*F165</f>
        <v/>
      </c>
      <c r="S165" s="2">
        <f>H165*(F165*1.5/8)</f>
        <v/>
      </c>
      <c r="T165" s="2">
        <f>R165+S165+L165+M165</f>
        <v/>
      </c>
      <c r="U165">
        <f>IF(G165=0,0,E165/G165)</f>
        <v/>
      </c>
      <c r="V165">
        <f>IF(I165&gt;=95,"A",IF(I165&gt;=85,"B",IF(I165&gt;=75,"C","D")))</f>
        <v/>
      </c>
      <c r="W165">
        <f>ROUND((J165*35)+(I165*0.25)+(U165*0.2)+(IF(Q165&gt;0,100,MAX(0,100+Q165*100))*0.2),2)</f>
        <v/>
      </c>
      <c r="X165" s="2">
        <f>ROUND(T165*N165*IF(V165="A",1.25,IF(V165="B",1.1,IF(V165="C",0.9,0.5))),2)</f>
        <v/>
      </c>
      <c r="Y165">
        <f>IF(OR(I165&lt;80,J165&lt;0.75,E165&lt;D165*0.85),"HIGH",IF(OR(I165&lt;90,J165&lt;0.9),"MEDIUM","LOW"))</f>
        <v/>
      </c>
      <c r="Z165" s="2">
        <f>ROUND(E165*INDEX(Rules!$B$2:$B$6,MATCH(O165,Rules!$A$2:$A$6,0))*INDEX(Rules!$C$2:$C$5,MATCH(V165,Rules!$D$2:$D$5,0)),2)</f>
        <v/>
      </c>
      <c r="AA165" s="2">
        <f>Z165-T165-X165</f>
        <v/>
      </c>
      <c r="AB165" s="3">
        <f>IF(Z165=0,0,AA165/Z165)</f>
        <v/>
      </c>
      <c r="AC165">
        <f>UPPER(LEFT(A165,3)&amp;"-"&amp;LEFT(B165,3)&amp;"-"&amp;TEXT(ROW()-1,"000"))</f>
        <v/>
      </c>
      <c r="AD165">
        <f>INDEX(Rules!$E$2:$E$6,MATCH(O165,Rules!$A$2:$A$6,0))</f>
        <v/>
      </c>
      <c r="AE165" s="2">
        <f>ROUND(AA165*AD165,2)</f>
        <v/>
      </c>
      <c r="AF165">
        <f>RANK(W165,$W$2:$W$181,0)</f>
        <v/>
      </c>
      <c r="AG165">
        <f>IF(AND(AB165&gt;0.18,Y165="LOW"),"PASS",IF(AB165&gt;0.08,"WATCH","FAIL"))</f>
        <v/>
      </c>
      <c r="AH165">
        <f>IFERROR(IF(VLOOKUP(A165,Rules!$G$2:$H$13,2,FALSE)="Priority","Priority Region","Standard Region"),"Standard Region")</f>
        <v/>
      </c>
      <c r="AI165">
        <f>ROUND(SUMPRODUCT(E165:J165,{0.08,0.08,0.15,0.1,0.25,0.34}),2)</f>
        <v/>
      </c>
      <c r="AJ165" s="2">
        <f>ROUND(AE165*INDEX(Rules!$J$2:$J$5,MATCH(MONTH(K165),Rules!$I$2:$I$5,1)),2)</f>
        <v/>
      </c>
    </row>
    <row r="166">
      <c r="A166" t="inlineStr">
        <is>
          <t>Jizzakh</t>
        </is>
      </c>
      <c r="B166" t="inlineStr">
        <is>
          <t>Industrial-2</t>
        </is>
      </c>
      <c r="C166" t="inlineStr">
        <is>
          <t>Nilufar Tursunova</t>
        </is>
      </c>
      <c r="D166" t="n">
        <v>215</v>
      </c>
      <c r="E166" t="n">
        <v>209</v>
      </c>
      <c r="F166" s="2" t="n">
        <v>214</v>
      </c>
      <c r="G166" t="n">
        <v>21</v>
      </c>
      <c r="H166" t="n">
        <v>11</v>
      </c>
      <c r="I166" t="n">
        <v>68</v>
      </c>
      <c r="J166" s="3" t="n">
        <v>0.9721</v>
      </c>
      <c r="K166" s="4" t="inlineStr">
        <is>
          <t>2026-09-01</t>
        </is>
      </c>
      <c r="L166" s="2" t="n">
        <v>112</v>
      </c>
      <c r="M166" s="2" t="n">
        <v>45</v>
      </c>
      <c r="N166" s="3" t="n">
        <v>0.0675</v>
      </c>
      <c r="O166" t="inlineStr">
        <is>
          <t>Tier-1</t>
        </is>
      </c>
      <c r="P166">
        <f>E166-D166</f>
        <v/>
      </c>
      <c r="Q166" s="3">
        <f>IF(D166=0,0,E166/D166-1)</f>
        <v/>
      </c>
      <c r="R166" s="2">
        <f>E166*F166</f>
        <v/>
      </c>
      <c r="S166" s="2">
        <f>H166*(F166*1.5/8)</f>
        <v/>
      </c>
      <c r="T166" s="2">
        <f>R166+S166+L166+M166</f>
        <v/>
      </c>
      <c r="U166">
        <f>IF(G166=0,0,E166/G166)</f>
        <v/>
      </c>
      <c r="V166">
        <f>IF(I166&gt;=95,"A",IF(I166&gt;=85,"B",IF(I166&gt;=75,"C","D")))</f>
        <v/>
      </c>
      <c r="W166">
        <f>ROUND((J166*35)+(I166*0.25)+(U166*0.2)+(IF(Q166&gt;0,100,MAX(0,100+Q166*100))*0.2),2)</f>
        <v/>
      </c>
      <c r="X166" s="2">
        <f>ROUND(T166*N166*IF(V166="A",1.25,IF(V166="B",1.1,IF(V166="C",0.9,0.5))),2)</f>
        <v/>
      </c>
      <c r="Y166">
        <f>IF(OR(I166&lt;80,J166&lt;0.75,E166&lt;D166*0.85),"HIGH",IF(OR(I166&lt;90,J166&lt;0.9),"MEDIUM","LOW"))</f>
        <v/>
      </c>
      <c r="Z166" s="2">
        <f>ROUND(E166*INDEX(Rules!$B$2:$B$6,MATCH(O166,Rules!$A$2:$A$6,0))*INDEX(Rules!$C$2:$C$5,MATCH(V166,Rules!$D$2:$D$5,0)),2)</f>
        <v/>
      </c>
      <c r="AA166" s="2">
        <f>Z166-T166-X166</f>
        <v/>
      </c>
      <c r="AB166" s="3">
        <f>IF(Z166=0,0,AA166/Z166)</f>
        <v/>
      </c>
      <c r="AC166">
        <f>UPPER(LEFT(A166,3)&amp;"-"&amp;LEFT(B166,3)&amp;"-"&amp;TEXT(ROW()-1,"000"))</f>
        <v/>
      </c>
      <c r="AD166">
        <f>INDEX(Rules!$E$2:$E$6,MATCH(O166,Rules!$A$2:$A$6,0))</f>
        <v/>
      </c>
      <c r="AE166" s="2">
        <f>ROUND(AA166*AD166,2)</f>
        <v/>
      </c>
      <c r="AF166">
        <f>RANK(W166,$W$2:$W$181,0)</f>
        <v/>
      </c>
      <c r="AG166">
        <f>IF(AND(AB166&gt;0.18,Y166="LOW"),"PASS",IF(AB166&gt;0.08,"WATCH","FAIL"))</f>
        <v/>
      </c>
      <c r="AH166">
        <f>IFERROR(IF(VLOOKUP(A166,Rules!$G$2:$H$13,2,FALSE)="Priority","Priority Region","Standard Region"),"Standard Region")</f>
        <v/>
      </c>
      <c r="AI166">
        <f>ROUND(SUMPRODUCT(E166:J166,{0.08,0.08,0.15,0.1,0.25,0.34}),2)</f>
        <v/>
      </c>
      <c r="AJ166" s="2">
        <f>ROUND(AE166*INDEX(Rules!$J$2:$J$5,MATCH(MONTH(K166),Rules!$I$2:$I$5,1)),2)</f>
        <v/>
      </c>
    </row>
    <row r="167">
      <c r="A167" t="inlineStr">
        <is>
          <t>Navoi</t>
        </is>
      </c>
      <c r="B167" t="inlineStr">
        <is>
          <t>Rural-3</t>
        </is>
      </c>
      <c r="C167" t="inlineStr">
        <is>
          <t>Sardor Jabborov</t>
        </is>
      </c>
      <c r="D167" t="n">
        <v>222</v>
      </c>
      <c r="E167" t="n">
        <v>223</v>
      </c>
      <c r="F167" s="2" t="n">
        <v>223</v>
      </c>
      <c r="G167" t="n">
        <v>22</v>
      </c>
      <c r="H167" t="n">
        <v>14</v>
      </c>
      <c r="I167" t="n">
        <v>73</v>
      </c>
      <c r="J167" s="3" t="n">
        <v>1.0045</v>
      </c>
      <c r="K167" s="4" t="inlineStr">
        <is>
          <t>2026-10-01</t>
        </is>
      </c>
      <c r="L167" s="2" t="n">
        <v>120</v>
      </c>
      <c r="M167" s="2" t="n">
        <v>50</v>
      </c>
      <c r="N167" s="3" t="n">
        <v>0.08</v>
      </c>
      <c r="O167" t="inlineStr">
        <is>
          <t>Tier-2</t>
        </is>
      </c>
      <c r="P167">
        <f>E167-D167</f>
        <v/>
      </c>
      <c r="Q167" s="3">
        <f>IF(D167=0,0,E167/D167-1)</f>
        <v/>
      </c>
      <c r="R167" s="2">
        <f>E167*F167</f>
        <v/>
      </c>
      <c r="S167" s="2">
        <f>H167*(F167*1.5/8)</f>
        <v/>
      </c>
      <c r="T167" s="2">
        <f>R167+S167+L167+M167</f>
        <v/>
      </c>
      <c r="U167">
        <f>IF(G167=0,0,E167/G167)</f>
        <v/>
      </c>
      <c r="V167">
        <f>IF(I167&gt;=95,"A",IF(I167&gt;=85,"B",IF(I167&gt;=75,"C","D")))</f>
        <v/>
      </c>
      <c r="W167">
        <f>ROUND((J167*35)+(I167*0.25)+(U167*0.2)+(IF(Q167&gt;0,100,MAX(0,100+Q167*100))*0.2),2)</f>
        <v/>
      </c>
      <c r="X167" s="2">
        <f>ROUND(T167*N167*IF(V167="A",1.25,IF(V167="B",1.1,IF(V167="C",0.9,0.5))),2)</f>
        <v/>
      </c>
      <c r="Y167">
        <f>IF(OR(I167&lt;80,J167&lt;0.75,E167&lt;D167*0.85),"HIGH",IF(OR(I167&lt;90,J167&lt;0.9),"MEDIUM","LOW"))</f>
        <v/>
      </c>
      <c r="Z167" s="2">
        <f>ROUND(E167*INDEX(Rules!$B$2:$B$6,MATCH(O167,Rules!$A$2:$A$6,0))*INDEX(Rules!$C$2:$C$5,MATCH(V167,Rules!$D$2:$D$5,0)),2)</f>
        <v/>
      </c>
      <c r="AA167" s="2">
        <f>Z167-T167-X167</f>
        <v/>
      </c>
      <c r="AB167" s="3">
        <f>IF(Z167=0,0,AA167/Z167)</f>
        <v/>
      </c>
      <c r="AC167">
        <f>UPPER(LEFT(A167,3)&amp;"-"&amp;LEFT(B167,3)&amp;"-"&amp;TEXT(ROW()-1,"000"))</f>
        <v/>
      </c>
      <c r="AD167">
        <f>INDEX(Rules!$E$2:$E$6,MATCH(O167,Rules!$A$2:$A$6,0))</f>
        <v/>
      </c>
      <c r="AE167" s="2">
        <f>ROUND(AA167*AD167,2)</f>
        <v/>
      </c>
      <c r="AF167">
        <f>RANK(W167,$W$2:$W$181,0)</f>
        <v/>
      </c>
      <c r="AG167">
        <f>IF(AND(AB167&gt;0.18,Y167="LOW"),"PASS",IF(AB167&gt;0.08,"WATCH","FAIL"))</f>
        <v/>
      </c>
      <c r="AH167">
        <f>IFERROR(IF(VLOOKUP(A167,Rules!$G$2:$H$13,2,FALSE)="Priority","Priority Region","Standard Region"),"Standard Region")</f>
        <v/>
      </c>
      <c r="AI167">
        <f>ROUND(SUMPRODUCT(E167:J167,{0.08,0.08,0.15,0.1,0.25,0.34}),2)</f>
        <v/>
      </c>
      <c r="AJ167" s="2">
        <f>ROUND(AE167*INDEX(Rules!$J$2:$J$5,MATCH(MONTH(K167),Rules!$I$2:$I$5,1)),2)</f>
        <v/>
      </c>
    </row>
    <row r="168">
      <c r="A168" t="inlineStr">
        <is>
          <t>Syrdarya</t>
        </is>
      </c>
      <c r="B168" t="inlineStr">
        <is>
          <t>Urban-4</t>
        </is>
      </c>
      <c r="C168" t="inlineStr">
        <is>
          <t>Kamola Rahimova</t>
        </is>
      </c>
      <c r="D168" t="n">
        <v>229</v>
      </c>
      <c r="E168" t="n">
        <v>237</v>
      </c>
      <c r="F168" s="2" t="n">
        <v>232</v>
      </c>
      <c r="G168" t="n">
        <v>23</v>
      </c>
      <c r="H168" t="n">
        <v>17</v>
      </c>
      <c r="I168" t="n">
        <v>78</v>
      </c>
      <c r="J168" s="3" t="n">
        <v>1.0349</v>
      </c>
      <c r="K168" s="4" t="inlineStr">
        <is>
          <t>2026-11-01</t>
        </is>
      </c>
      <c r="L168" s="2" t="n">
        <v>128</v>
      </c>
      <c r="M168" s="2" t="n">
        <v>55</v>
      </c>
      <c r="N168" s="3" t="n">
        <v>0.0925</v>
      </c>
      <c r="O168" t="inlineStr">
        <is>
          <t>Tier-3</t>
        </is>
      </c>
      <c r="P168">
        <f>E168-D168</f>
        <v/>
      </c>
      <c r="Q168" s="3">
        <f>IF(D168=0,0,E168/D168-1)</f>
        <v/>
      </c>
      <c r="R168" s="2">
        <f>E168*F168</f>
        <v/>
      </c>
      <c r="S168" s="2">
        <f>H168*(F168*1.5/8)</f>
        <v/>
      </c>
      <c r="T168" s="2">
        <f>R168+S168+L168+M168</f>
        <v/>
      </c>
      <c r="U168">
        <f>IF(G168=0,0,E168/G168)</f>
        <v/>
      </c>
      <c r="V168">
        <f>IF(I168&gt;=95,"A",IF(I168&gt;=85,"B",IF(I168&gt;=75,"C","D")))</f>
        <v/>
      </c>
      <c r="W168">
        <f>ROUND((J168*35)+(I168*0.25)+(U168*0.2)+(IF(Q168&gt;0,100,MAX(0,100+Q168*100))*0.2),2)</f>
        <v/>
      </c>
      <c r="X168" s="2">
        <f>ROUND(T168*N168*IF(V168="A",1.25,IF(V168="B",1.1,IF(V168="C",0.9,0.5))),2)</f>
        <v/>
      </c>
      <c r="Y168">
        <f>IF(OR(I168&lt;80,J168&lt;0.75,E168&lt;D168*0.85),"HIGH",IF(OR(I168&lt;90,J168&lt;0.9),"MEDIUM","LOW"))</f>
        <v/>
      </c>
      <c r="Z168" s="2">
        <f>ROUND(E168*INDEX(Rules!$B$2:$B$6,MATCH(O168,Rules!$A$2:$A$6,0))*INDEX(Rules!$C$2:$C$5,MATCH(V168,Rules!$D$2:$D$5,0)),2)</f>
        <v/>
      </c>
      <c r="AA168" s="2">
        <f>Z168-T168-X168</f>
        <v/>
      </c>
      <c r="AB168" s="3">
        <f>IF(Z168=0,0,AA168/Z168)</f>
        <v/>
      </c>
      <c r="AC168">
        <f>UPPER(LEFT(A168,3)&amp;"-"&amp;LEFT(B168,3)&amp;"-"&amp;TEXT(ROW()-1,"000"))</f>
        <v/>
      </c>
      <c r="AD168">
        <f>INDEX(Rules!$E$2:$E$6,MATCH(O168,Rules!$A$2:$A$6,0))</f>
        <v/>
      </c>
      <c r="AE168" s="2">
        <f>ROUND(AA168*AD168,2)</f>
        <v/>
      </c>
      <c r="AF168">
        <f>RANK(W168,$W$2:$W$181,0)</f>
        <v/>
      </c>
      <c r="AG168">
        <f>IF(AND(AB168&gt;0.18,Y168="LOW"),"PASS",IF(AB168&gt;0.08,"WATCH","FAIL"))</f>
        <v/>
      </c>
      <c r="AH168">
        <f>IFERROR(IF(VLOOKUP(A168,Rules!$G$2:$H$13,2,FALSE)="Priority","Priority Region","Standard Region"),"Standard Region")</f>
        <v/>
      </c>
      <c r="AI168">
        <f>ROUND(SUMPRODUCT(E168:J168,{0.08,0.08,0.15,0.1,0.25,0.34}),2)</f>
        <v/>
      </c>
      <c r="AJ168" s="2">
        <f>ROUND(AE168*INDEX(Rules!$J$2:$J$5,MATCH(MONTH(K168),Rules!$I$2:$I$5,1)),2)</f>
        <v/>
      </c>
    </row>
    <row r="169">
      <c r="A169" t="inlineStr">
        <is>
          <t>Tashkent</t>
        </is>
      </c>
      <c r="B169" t="inlineStr">
        <is>
          <t>Central-1</t>
        </is>
      </c>
      <c r="C169" t="inlineStr">
        <is>
          <t>Aziza Karimova</t>
        </is>
      </c>
      <c r="D169" t="n">
        <v>236</v>
      </c>
      <c r="E169" t="n">
        <v>251</v>
      </c>
      <c r="F169" s="2" t="n">
        <v>115</v>
      </c>
      <c r="G169" t="n">
        <v>24</v>
      </c>
      <c r="H169" t="n">
        <v>20</v>
      </c>
      <c r="I169" t="n">
        <v>83</v>
      </c>
      <c r="J169" s="3" t="n">
        <v>1.0636</v>
      </c>
      <c r="K169" s="4" t="inlineStr">
        <is>
          <t>2026-12-01</t>
        </is>
      </c>
      <c r="L169" s="2" t="n">
        <v>40</v>
      </c>
      <c r="M169" s="2" t="n">
        <v>60</v>
      </c>
      <c r="N169" s="3" t="n">
        <v>0.03</v>
      </c>
      <c r="O169" t="inlineStr">
        <is>
          <t>Tier-4</t>
        </is>
      </c>
      <c r="P169">
        <f>E169-D169</f>
        <v/>
      </c>
      <c r="Q169" s="3">
        <f>IF(D169=0,0,E169/D169-1)</f>
        <v/>
      </c>
      <c r="R169" s="2">
        <f>E169*F169</f>
        <v/>
      </c>
      <c r="S169" s="2">
        <f>H169*(F169*1.5/8)</f>
        <v/>
      </c>
      <c r="T169" s="2">
        <f>R169+S169+L169+M169</f>
        <v/>
      </c>
      <c r="U169">
        <f>IF(G169=0,0,E169/G169)</f>
        <v/>
      </c>
      <c r="V169">
        <f>IF(I169&gt;=95,"A",IF(I169&gt;=85,"B",IF(I169&gt;=75,"C","D")))</f>
        <v/>
      </c>
      <c r="W169">
        <f>ROUND((J169*35)+(I169*0.25)+(U169*0.2)+(IF(Q169&gt;0,100,MAX(0,100+Q169*100))*0.2),2)</f>
        <v/>
      </c>
      <c r="X169" s="2">
        <f>ROUND(T169*N169*IF(V169="A",1.25,IF(V169="B",1.1,IF(V169="C",0.9,0.5))),2)</f>
        <v/>
      </c>
      <c r="Y169">
        <f>IF(OR(I169&lt;80,J169&lt;0.75,E169&lt;D169*0.85),"HIGH",IF(OR(I169&lt;90,J169&lt;0.9),"MEDIUM","LOW"))</f>
        <v/>
      </c>
      <c r="Z169" s="2">
        <f>ROUND(E169*INDEX(Rules!$B$2:$B$6,MATCH(O169,Rules!$A$2:$A$6,0))*INDEX(Rules!$C$2:$C$5,MATCH(V169,Rules!$D$2:$D$5,0)),2)</f>
        <v/>
      </c>
      <c r="AA169" s="2">
        <f>Z169-T169-X169</f>
        <v/>
      </c>
      <c r="AB169" s="3">
        <f>IF(Z169=0,0,AA169/Z169)</f>
        <v/>
      </c>
      <c r="AC169">
        <f>UPPER(LEFT(A169,3)&amp;"-"&amp;LEFT(B169,3)&amp;"-"&amp;TEXT(ROW()-1,"000"))</f>
        <v/>
      </c>
      <c r="AD169">
        <f>INDEX(Rules!$E$2:$E$6,MATCH(O169,Rules!$A$2:$A$6,0))</f>
        <v/>
      </c>
      <c r="AE169" s="2">
        <f>ROUND(AA169*AD169,2)</f>
        <v/>
      </c>
      <c r="AF169">
        <f>RANK(W169,$W$2:$W$181,0)</f>
        <v/>
      </c>
      <c r="AG169">
        <f>IF(AND(AB169&gt;0.18,Y169="LOW"),"PASS",IF(AB169&gt;0.08,"WATCH","FAIL"))</f>
        <v/>
      </c>
      <c r="AH169">
        <f>IFERROR(IF(VLOOKUP(A169,Rules!$G$2:$H$13,2,FALSE)="Priority","Priority Region","Standard Region"),"Standard Region")</f>
        <v/>
      </c>
      <c r="AI169">
        <f>ROUND(SUMPRODUCT(E169:J169,{0.08,0.08,0.15,0.1,0.25,0.34}),2)</f>
        <v/>
      </c>
      <c r="AJ169" s="2">
        <f>ROUND(AE169*INDEX(Rules!$J$2:$J$5,MATCH(MONTH(K169),Rules!$I$2:$I$5,1)),2)</f>
        <v/>
      </c>
    </row>
    <row r="170">
      <c r="A170" t="inlineStr">
        <is>
          <t>Samarkand</t>
        </is>
      </c>
      <c r="B170" t="inlineStr">
        <is>
          <t>North-2</t>
        </is>
      </c>
      <c r="C170" t="inlineStr">
        <is>
          <t>Bekzod Aliyev</t>
        </is>
      </c>
      <c r="D170" t="n">
        <v>243</v>
      </c>
      <c r="E170" t="n">
        <v>265</v>
      </c>
      <c r="F170" s="2" t="n">
        <v>124</v>
      </c>
      <c r="G170" t="n">
        <v>25</v>
      </c>
      <c r="H170" t="n">
        <v>1</v>
      </c>
      <c r="I170" t="n">
        <v>88</v>
      </c>
      <c r="J170" s="3" t="n">
        <v>1.0905</v>
      </c>
      <c r="K170" s="4" t="inlineStr">
        <is>
          <t>2026-01-01</t>
        </is>
      </c>
      <c r="L170" s="2" t="n">
        <v>48</v>
      </c>
      <c r="M170" s="2" t="n">
        <v>65</v>
      </c>
      <c r="N170" s="3" t="n">
        <v>0.0425</v>
      </c>
      <c r="O170" t="inlineStr">
        <is>
          <t>Tier-5</t>
        </is>
      </c>
      <c r="P170">
        <f>E170-D170</f>
        <v/>
      </c>
      <c r="Q170" s="3">
        <f>IF(D170=0,0,E170/D170-1)</f>
        <v/>
      </c>
      <c r="R170" s="2">
        <f>E170*F170</f>
        <v/>
      </c>
      <c r="S170" s="2">
        <f>H170*(F170*1.5/8)</f>
        <v/>
      </c>
      <c r="T170" s="2">
        <f>R170+S170+L170+M170</f>
        <v/>
      </c>
      <c r="U170">
        <f>IF(G170=0,0,E170/G170)</f>
        <v/>
      </c>
      <c r="V170">
        <f>IF(I170&gt;=95,"A",IF(I170&gt;=85,"B",IF(I170&gt;=75,"C","D")))</f>
        <v/>
      </c>
      <c r="W170">
        <f>ROUND((J170*35)+(I170*0.25)+(U170*0.2)+(IF(Q170&gt;0,100,MAX(0,100+Q170*100))*0.2),2)</f>
        <v/>
      </c>
      <c r="X170" s="2">
        <f>ROUND(T170*N170*IF(V170="A",1.25,IF(V170="B",1.1,IF(V170="C",0.9,0.5))),2)</f>
        <v/>
      </c>
      <c r="Y170">
        <f>IF(OR(I170&lt;80,J170&lt;0.75,E170&lt;D170*0.85),"HIGH",IF(OR(I170&lt;90,J170&lt;0.9),"MEDIUM","LOW"))</f>
        <v/>
      </c>
      <c r="Z170" s="2">
        <f>ROUND(E170*INDEX(Rules!$B$2:$B$6,MATCH(O170,Rules!$A$2:$A$6,0))*INDEX(Rules!$C$2:$C$5,MATCH(V170,Rules!$D$2:$D$5,0)),2)</f>
        <v/>
      </c>
      <c r="AA170" s="2">
        <f>Z170-T170-X170</f>
        <v/>
      </c>
      <c r="AB170" s="3">
        <f>IF(Z170=0,0,AA170/Z170)</f>
        <v/>
      </c>
      <c r="AC170">
        <f>UPPER(LEFT(A170,3)&amp;"-"&amp;LEFT(B170,3)&amp;"-"&amp;TEXT(ROW()-1,"000"))</f>
        <v/>
      </c>
      <c r="AD170">
        <f>INDEX(Rules!$E$2:$E$6,MATCH(O170,Rules!$A$2:$A$6,0))</f>
        <v/>
      </c>
      <c r="AE170" s="2">
        <f>ROUND(AA170*AD170,2)</f>
        <v/>
      </c>
      <c r="AF170">
        <f>RANK(W170,$W$2:$W$181,0)</f>
        <v/>
      </c>
      <c r="AG170">
        <f>IF(AND(AB170&gt;0.18,Y170="LOW"),"PASS",IF(AB170&gt;0.08,"WATCH","FAIL"))</f>
        <v/>
      </c>
      <c r="AH170">
        <f>IFERROR(IF(VLOOKUP(A170,Rules!$G$2:$H$13,2,FALSE)="Priority","Priority Region","Standard Region"),"Standard Region")</f>
        <v/>
      </c>
      <c r="AI170">
        <f>ROUND(SUMPRODUCT(E170:J170,{0.08,0.08,0.15,0.1,0.25,0.34}),2)</f>
        <v/>
      </c>
      <c r="AJ170" s="2">
        <f>ROUND(AE170*INDEX(Rules!$J$2:$J$5,MATCH(MONTH(K170),Rules!$I$2:$I$5,1)),2)</f>
        <v/>
      </c>
    </row>
    <row r="171">
      <c r="A171" t="inlineStr">
        <is>
          <t>Bukhara</t>
        </is>
      </c>
      <c r="B171" t="inlineStr">
        <is>
          <t>South-3</t>
        </is>
      </c>
      <c r="C171" t="inlineStr">
        <is>
          <t>Dilshod Rustamov</t>
        </is>
      </c>
      <c r="D171" t="n">
        <v>80</v>
      </c>
      <c r="E171" t="n">
        <v>104</v>
      </c>
      <c r="F171" s="2" t="n">
        <v>133</v>
      </c>
      <c r="G171" t="n">
        <v>26</v>
      </c>
      <c r="H171" t="n">
        <v>4</v>
      </c>
      <c r="I171" t="n">
        <v>93</v>
      </c>
      <c r="J171" s="3" t="n">
        <v>1.3</v>
      </c>
      <c r="K171" s="4" t="inlineStr">
        <is>
          <t>2026-02-01</t>
        </is>
      </c>
      <c r="L171" s="2" t="n">
        <v>56</v>
      </c>
      <c r="M171" s="2" t="n">
        <v>20</v>
      </c>
      <c r="N171" s="3" t="n">
        <v>0.055</v>
      </c>
      <c r="O171" t="inlineStr">
        <is>
          <t>Tier-1</t>
        </is>
      </c>
      <c r="P171">
        <f>E171-D171</f>
        <v/>
      </c>
      <c r="Q171" s="3">
        <f>IF(D171=0,0,E171/D171-1)</f>
        <v/>
      </c>
      <c r="R171" s="2">
        <f>E171*F171</f>
        <v/>
      </c>
      <c r="S171" s="2">
        <f>H171*(F171*1.5/8)</f>
        <v/>
      </c>
      <c r="T171" s="2">
        <f>R171+S171+L171+M171</f>
        <v/>
      </c>
      <c r="U171">
        <f>IF(G171=0,0,E171/G171)</f>
        <v/>
      </c>
      <c r="V171">
        <f>IF(I171&gt;=95,"A",IF(I171&gt;=85,"B",IF(I171&gt;=75,"C","D")))</f>
        <v/>
      </c>
      <c r="W171">
        <f>ROUND((J171*35)+(I171*0.25)+(U171*0.2)+(IF(Q171&gt;0,100,MAX(0,100+Q171*100))*0.2),2)</f>
        <v/>
      </c>
      <c r="X171" s="2">
        <f>ROUND(T171*N171*IF(V171="A",1.25,IF(V171="B",1.1,IF(V171="C",0.9,0.5))),2)</f>
        <v/>
      </c>
      <c r="Y171">
        <f>IF(OR(I171&lt;80,J171&lt;0.75,E171&lt;D171*0.85),"HIGH",IF(OR(I171&lt;90,J171&lt;0.9),"MEDIUM","LOW"))</f>
        <v/>
      </c>
      <c r="Z171" s="2">
        <f>ROUND(E171*INDEX(Rules!$B$2:$B$6,MATCH(O171,Rules!$A$2:$A$6,0))*INDEX(Rules!$C$2:$C$5,MATCH(V171,Rules!$D$2:$D$5,0)),2)</f>
        <v/>
      </c>
      <c r="AA171" s="2">
        <f>Z171-T171-X171</f>
        <v/>
      </c>
      <c r="AB171" s="3">
        <f>IF(Z171=0,0,AA171/Z171)</f>
        <v/>
      </c>
      <c r="AC171">
        <f>UPPER(LEFT(A171,3)&amp;"-"&amp;LEFT(B171,3)&amp;"-"&amp;TEXT(ROW()-1,"000"))</f>
        <v/>
      </c>
      <c r="AD171">
        <f>INDEX(Rules!$E$2:$E$6,MATCH(O171,Rules!$A$2:$A$6,0))</f>
        <v/>
      </c>
      <c r="AE171" s="2">
        <f>ROUND(AA171*AD171,2)</f>
        <v/>
      </c>
      <c r="AF171">
        <f>RANK(W171,$W$2:$W$181,0)</f>
        <v/>
      </c>
      <c r="AG171">
        <f>IF(AND(AB171&gt;0.18,Y171="LOW"),"PASS",IF(AB171&gt;0.08,"WATCH","FAIL"))</f>
        <v/>
      </c>
      <c r="AH171">
        <f>IFERROR(IF(VLOOKUP(A171,Rules!$G$2:$H$13,2,FALSE)="Priority","Priority Region","Standard Region"),"Standard Region")</f>
        <v/>
      </c>
      <c r="AI171">
        <f>ROUND(SUMPRODUCT(E171:J171,{0.08,0.08,0.15,0.1,0.25,0.34}),2)</f>
        <v/>
      </c>
      <c r="AJ171" s="2">
        <f>ROUND(AE171*INDEX(Rules!$J$2:$J$5,MATCH(MONTH(K171),Rules!$I$2:$I$5,1)),2)</f>
        <v/>
      </c>
    </row>
    <row r="172">
      <c r="A172" t="inlineStr">
        <is>
          <t>Andijan</t>
        </is>
      </c>
      <c r="B172" t="inlineStr">
        <is>
          <t>East-4</t>
        </is>
      </c>
      <c r="C172" t="inlineStr">
        <is>
          <t>Malika Ergasheva</t>
        </is>
      </c>
      <c r="D172" t="n">
        <v>87</v>
      </c>
      <c r="E172" t="n">
        <v>64</v>
      </c>
      <c r="F172" s="2" t="n">
        <v>142</v>
      </c>
      <c r="G172" t="n">
        <v>18</v>
      </c>
      <c r="H172" t="n">
        <v>7</v>
      </c>
      <c r="I172" t="n">
        <v>98</v>
      </c>
      <c r="J172" s="3" t="n">
        <v>0.7356</v>
      </c>
      <c r="K172" s="4" t="inlineStr">
        <is>
          <t>2026-03-01</t>
        </is>
      </c>
      <c r="L172" s="2" t="n">
        <v>64</v>
      </c>
      <c r="M172" s="2" t="n">
        <v>25</v>
      </c>
      <c r="N172" s="3" t="n">
        <v>0.0675</v>
      </c>
      <c r="O172" t="inlineStr">
        <is>
          <t>Tier-2</t>
        </is>
      </c>
      <c r="P172">
        <f>E172-D172</f>
        <v/>
      </c>
      <c r="Q172" s="3">
        <f>IF(D172=0,0,E172/D172-1)</f>
        <v/>
      </c>
      <c r="R172" s="2">
        <f>E172*F172</f>
        <v/>
      </c>
      <c r="S172" s="2">
        <f>H172*(F172*1.5/8)</f>
        <v/>
      </c>
      <c r="T172" s="2">
        <f>R172+S172+L172+M172</f>
        <v/>
      </c>
      <c r="U172">
        <f>IF(G172=0,0,E172/G172)</f>
        <v/>
      </c>
      <c r="V172">
        <f>IF(I172&gt;=95,"A",IF(I172&gt;=85,"B",IF(I172&gt;=75,"C","D")))</f>
        <v/>
      </c>
      <c r="W172">
        <f>ROUND((J172*35)+(I172*0.25)+(U172*0.2)+(IF(Q172&gt;0,100,MAX(0,100+Q172*100))*0.2),2)</f>
        <v/>
      </c>
      <c r="X172" s="2">
        <f>ROUND(T172*N172*IF(V172="A",1.25,IF(V172="B",1.1,IF(V172="C",0.9,0.5))),2)</f>
        <v/>
      </c>
      <c r="Y172">
        <f>IF(OR(I172&lt;80,J172&lt;0.75,E172&lt;D172*0.85),"HIGH",IF(OR(I172&lt;90,J172&lt;0.9),"MEDIUM","LOW"))</f>
        <v/>
      </c>
      <c r="Z172" s="2">
        <f>ROUND(E172*INDEX(Rules!$B$2:$B$6,MATCH(O172,Rules!$A$2:$A$6,0))*INDEX(Rules!$C$2:$C$5,MATCH(V172,Rules!$D$2:$D$5,0)),2)</f>
        <v/>
      </c>
      <c r="AA172" s="2">
        <f>Z172-T172-X172</f>
        <v/>
      </c>
      <c r="AB172" s="3">
        <f>IF(Z172=0,0,AA172/Z172)</f>
        <v/>
      </c>
      <c r="AC172">
        <f>UPPER(LEFT(A172,3)&amp;"-"&amp;LEFT(B172,3)&amp;"-"&amp;TEXT(ROW()-1,"000"))</f>
        <v/>
      </c>
      <c r="AD172">
        <f>INDEX(Rules!$E$2:$E$6,MATCH(O172,Rules!$A$2:$A$6,0))</f>
        <v/>
      </c>
      <c r="AE172" s="2">
        <f>ROUND(AA172*AD172,2)</f>
        <v/>
      </c>
      <c r="AF172">
        <f>RANK(W172,$W$2:$W$181,0)</f>
        <v/>
      </c>
      <c r="AG172">
        <f>IF(AND(AB172&gt;0.18,Y172="LOW"),"PASS",IF(AB172&gt;0.08,"WATCH","FAIL"))</f>
        <v/>
      </c>
      <c r="AH172">
        <f>IFERROR(IF(VLOOKUP(A172,Rules!$G$2:$H$13,2,FALSE)="Priority","Priority Region","Standard Region"),"Standard Region")</f>
        <v/>
      </c>
      <c r="AI172">
        <f>ROUND(SUMPRODUCT(E172:J172,{0.08,0.08,0.15,0.1,0.25,0.34}),2)</f>
        <v/>
      </c>
      <c r="AJ172" s="2">
        <f>ROUND(AE172*INDEX(Rules!$J$2:$J$5,MATCH(MONTH(K172),Rules!$I$2:$I$5,1)),2)</f>
        <v/>
      </c>
    </row>
    <row r="173">
      <c r="A173" t="inlineStr">
        <is>
          <t>Namangan</t>
        </is>
      </c>
      <c r="B173" t="inlineStr">
        <is>
          <t>West-1</t>
        </is>
      </c>
      <c r="C173" t="inlineStr">
        <is>
          <t>Shahzod Islomov</t>
        </is>
      </c>
      <c r="D173" t="n">
        <v>94</v>
      </c>
      <c r="E173" t="n">
        <v>78</v>
      </c>
      <c r="F173" s="2" t="n">
        <v>151</v>
      </c>
      <c r="G173" t="n">
        <v>19</v>
      </c>
      <c r="H173" t="n">
        <v>10</v>
      </c>
      <c r="I173" t="n">
        <v>70</v>
      </c>
      <c r="J173" s="3" t="n">
        <v>0.8298</v>
      </c>
      <c r="K173" s="4" t="inlineStr">
        <is>
          <t>2026-04-01</t>
        </is>
      </c>
      <c r="L173" s="2" t="n">
        <v>72</v>
      </c>
      <c r="M173" s="2" t="n">
        <v>30</v>
      </c>
      <c r="N173" s="3" t="n">
        <v>0.08</v>
      </c>
      <c r="O173" t="inlineStr">
        <is>
          <t>Tier-3</t>
        </is>
      </c>
      <c r="P173">
        <f>E173-D173</f>
        <v/>
      </c>
      <c r="Q173" s="3">
        <f>IF(D173=0,0,E173/D173-1)</f>
        <v/>
      </c>
      <c r="R173" s="2">
        <f>E173*F173</f>
        <v/>
      </c>
      <c r="S173" s="2">
        <f>H173*(F173*1.5/8)</f>
        <v/>
      </c>
      <c r="T173" s="2">
        <f>R173+S173+L173+M173</f>
        <v/>
      </c>
      <c r="U173">
        <f>IF(G173=0,0,E173/G173)</f>
        <v/>
      </c>
      <c r="V173">
        <f>IF(I173&gt;=95,"A",IF(I173&gt;=85,"B",IF(I173&gt;=75,"C","D")))</f>
        <v/>
      </c>
      <c r="W173">
        <f>ROUND((J173*35)+(I173*0.25)+(U173*0.2)+(IF(Q173&gt;0,100,MAX(0,100+Q173*100))*0.2),2)</f>
        <v/>
      </c>
      <c r="X173" s="2">
        <f>ROUND(T173*N173*IF(V173="A",1.25,IF(V173="B",1.1,IF(V173="C",0.9,0.5))),2)</f>
        <v/>
      </c>
      <c r="Y173">
        <f>IF(OR(I173&lt;80,J173&lt;0.75,E173&lt;D173*0.85),"HIGH",IF(OR(I173&lt;90,J173&lt;0.9),"MEDIUM","LOW"))</f>
        <v/>
      </c>
      <c r="Z173" s="2">
        <f>ROUND(E173*INDEX(Rules!$B$2:$B$6,MATCH(O173,Rules!$A$2:$A$6,0))*INDEX(Rules!$C$2:$C$5,MATCH(V173,Rules!$D$2:$D$5,0)),2)</f>
        <v/>
      </c>
      <c r="AA173" s="2">
        <f>Z173-T173-X173</f>
        <v/>
      </c>
      <c r="AB173" s="3">
        <f>IF(Z173=0,0,AA173/Z173)</f>
        <v/>
      </c>
      <c r="AC173">
        <f>UPPER(LEFT(A173,3)&amp;"-"&amp;LEFT(B173,3)&amp;"-"&amp;TEXT(ROW()-1,"000"))</f>
        <v/>
      </c>
      <c r="AD173">
        <f>INDEX(Rules!$E$2:$E$6,MATCH(O173,Rules!$A$2:$A$6,0))</f>
        <v/>
      </c>
      <c r="AE173" s="2">
        <f>ROUND(AA173*AD173,2)</f>
        <v/>
      </c>
      <c r="AF173">
        <f>RANK(W173,$W$2:$W$181,0)</f>
        <v/>
      </c>
      <c r="AG173">
        <f>IF(AND(AB173&gt;0.18,Y173="LOW"),"PASS",IF(AB173&gt;0.08,"WATCH","FAIL"))</f>
        <v/>
      </c>
      <c r="AH173">
        <f>IFERROR(IF(VLOOKUP(A173,Rules!$G$2:$H$13,2,FALSE)="Priority","Priority Region","Standard Region"),"Standard Region")</f>
        <v/>
      </c>
      <c r="AI173">
        <f>ROUND(SUMPRODUCT(E173:J173,{0.08,0.08,0.15,0.1,0.25,0.34}),2)</f>
        <v/>
      </c>
      <c r="AJ173" s="2">
        <f>ROUND(AE173*INDEX(Rules!$J$2:$J$5,MATCH(MONTH(K173),Rules!$I$2:$I$5,1)),2)</f>
        <v/>
      </c>
    </row>
    <row r="174">
      <c r="A174" t="inlineStr">
        <is>
          <t>Fergana</t>
        </is>
      </c>
      <c r="B174" t="inlineStr">
        <is>
          <t>Industrial-2</t>
        </is>
      </c>
      <c r="C174" t="inlineStr">
        <is>
          <t>Nilufar Tursunova</t>
        </is>
      </c>
      <c r="D174" t="n">
        <v>101</v>
      </c>
      <c r="E174" t="n">
        <v>92</v>
      </c>
      <c r="F174" s="2" t="n">
        <v>160</v>
      </c>
      <c r="G174" t="n">
        <v>20</v>
      </c>
      <c r="H174" t="n">
        <v>13</v>
      </c>
      <c r="I174" t="n">
        <v>75</v>
      </c>
      <c r="J174" s="3" t="n">
        <v>0.9109</v>
      </c>
      <c r="K174" s="4" t="inlineStr">
        <is>
          <t>2026-05-01</t>
        </is>
      </c>
      <c r="L174" s="2" t="n">
        <v>80</v>
      </c>
      <c r="M174" s="2" t="n">
        <v>35</v>
      </c>
      <c r="N174" s="3" t="n">
        <v>0.0925</v>
      </c>
      <c r="O174" t="inlineStr">
        <is>
          <t>Tier-4</t>
        </is>
      </c>
      <c r="P174">
        <f>E174-D174</f>
        <v/>
      </c>
      <c r="Q174" s="3">
        <f>IF(D174=0,0,E174/D174-1)</f>
        <v/>
      </c>
      <c r="R174" s="2">
        <f>E174*F174</f>
        <v/>
      </c>
      <c r="S174" s="2">
        <f>H174*(F174*1.5/8)</f>
        <v/>
      </c>
      <c r="T174" s="2">
        <f>R174+S174+L174+M174</f>
        <v/>
      </c>
      <c r="U174">
        <f>IF(G174=0,0,E174/G174)</f>
        <v/>
      </c>
      <c r="V174">
        <f>IF(I174&gt;=95,"A",IF(I174&gt;=85,"B",IF(I174&gt;=75,"C","D")))</f>
        <v/>
      </c>
      <c r="W174">
        <f>ROUND((J174*35)+(I174*0.25)+(U174*0.2)+(IF(Q174&gt;0,100,MAX(0,100+Q174*100))*0.2),2)</f>
        <v/>
      </c>
      <c r="X174" s="2">
        <f>ROUND(T174*N174*IF(V174="A",1.25,IF(V174="B",1.1,IF(V174="C",0.9,0.5))),2)</f>
        <v/>
      </c>
      <c r="Y174">
        <f>IF(OR(I174&lt;80,J174&lt;0.75,E174&lt;D174*0.85),"HIGH",IF(OR(I174&lt;90,J174&lt;0.9),"MEDIUM","LOW"))</f>
        <v/>
      </c>
      <c r="Z174" s="2">
        <f>ROUND(E174*INDEX(Rules!$B$2:$B$6,MATCH(O174,Rules!$A$2:$A$6,0))*INDEX(Rules!$C$2:$C$5,MATCH(V174,Rules!$D$2:$D$5,0)),2)</f>
        <v/>
      </c>
      <c r="AA174" s="2">
        <f>Z174-T174-X174</f>
        <v/>
      </c>
      <c r="AB174" s="3">
        <f>IF(Z174=0,0,AA174/Z174)</f>
        <v/>
      </c>
      <c r="AC174">
        <f>UPPER(LEFT(A174,3)&amp;"-"&amp;LEFT(B174,3)&amp;"-"&amp;TEXT(ROW()-1,"000"))</f>
        <v/>
      </c>
      <c r="AD174">
        <f>INDEX(Rules!$E$2:$E$6,MATCH(O174,Rules!$A$2:$A$6,0))</f>
        <v/>
      </c>
      <c r="AE174" s="2">
        <f>ROUND(AA174*AD174,2)</f>
        <v/>
      </c>
      <c r="AF174">
        <f>RANK(W174,$W$2:$W$181,0)</f>
        <v/>
      </c>
      <c r="AG174">
        <f>IF(AND(AB174&gt;0.18,Y174="LOW"),"PASS",IF(AB174&gt;0.08,"WATCH","FAIL"))</f>
        <v/>
      </c>
      <c r="AH174">
        <f>IFERROR(IF(VLOOKUP(A174,Rules!$G$2:$H$13,2,FALSE)="Priority","Priority Region","Standard Region"),"Standard Region")</f>
        <v/>
      </c>
      <c r="AI174">
        <f>ROUND(SUMPRODUCT(E174:J174,{0.08,0.08,0.15,0.1,0.25,0.34}),2)</f>
        <v/>
      </c>
      <c r="AJ174" s="2">
        <f>ROUND(AE174*INDEX(Rules!$J$2:$J$5,MATCH(MONTH(K174),Rules!$I$2:$I$5,1)),2)</f>
        <v/>
      </c>
    </row>
    <row r="175">
      <c r="A175" t="inlineStr">
        <is>
          <t>Kashkadarya</t>
        </is>
      </c>
      <c r="B175" t="inlineStr">
        <is>
          <t>Rural-3</t>
        </is>
      </c>
      <c r="C175" t="inlineStr">
        <is>
          <t>Sardor Jabborov</t>
        </is>
      </c>
      <c r="D175" t="n">
        <v>108</v>
      </c>
      <c r="E175" t="n">
        <v>106</v>
      </c>
      <c r="F175" s="2" t="n">
        <v>169</v>
      </c>
      <c r="G175" t="n">
        <v>21</v>
      </c>
      <c r="H175" t="n">
        <v>16</v>
      </c>
      <c r="I175" t="n">
        <v>80</v>
      </c>
      <c r="J175" s="3" t="n">
        <v>0.9815</v>
      </c>
      <c r="K175" s="4" t="inlineStr">
        <is>
          <t>2026-06-01</t>
        </is>
      </c>
      <c r="L175" s="2" t="n">
        <v>88</v>
      </c>
      <c r="M175" s="2" t="n">
        <v>40</v>
      </c>
      <c r="N175" s="3" t="n">
        <v>0.03</v>
      </c>
      <c r="O175" t="inlineStr">
        <is>
          <t>Tier-5</t>
        </is>
      </c>
      <c r="P175">
        <f>E175-D175</f>
        <v/>
      </c>
      <c r="Q175" s="3">
        <f>IF(D175=0,0,E175/D175-1)</f>
        <v/>
      </c>
      <c r="R175" s="2">
        <f>E175*F175</f>
        <v/>
      </c>
      <c r="S175" s="2">
        <f>H175*(F175*1.5/8)</f>
        <v/>
      </c>
      <c r="T175" s="2">
        <f>R175+S175+L175+M175</f>
        <v/>
      </c>
      <c r="U175">
        <f>IF(G175=0,0,E175/G175)</f>
        <v/>
      </c>
      <c r="V175">
        <f>IF(I175&gt;=95,"A",IF(I175&gt;=85,"B",IF(I175&gt;=75,"C","D")))</f>
        <v/>
      </c>
      <c r="W175">
        <f>ROUND((J175*35)+(I175*0.25)+(U175*0.2)+(IF(Q175&gt;0,100,MAX(0,100+Q175*100))*0.2),2)</f>
        <v/>
      </c>
      <c r="X175" s="2">
        <f>ROUND(T175*N175*IF(V175="A",1.25,IF(V175="B",1.1,IF(V175="C",0.9,0.5))),2)</f>
        <v/>
      </c>
      <c r="Y175">
        <f>IF(OR(I175&lt;80,J175&lt;0.75,E175&lt;D175*0.85),"HIGH",IF(OR(I175&lt;90,J175&lt;0.9),"MEDIUM","LOW"))</f>
        <v/>
      </c>
      <c r="Z175" s="2">
        <f>ROUND(E175*INDEX(Rules!$B$2:$B$6,MATCH(O175,Rules!$A$2:$A$6,0))*INDEX(Rules!$C$2:$C$5,MATCH(V175,Rules!$D$2:$D$5,0)),2)</f>
        <v/>
      </c>
      <c r="AA175" s="2">
        <f>Z175-T175-X175</f>
        <v/>
      </c>
      <c r="AB175" s="3">
        <f>IF(Z175=0,0,AA175/Z175)</f>
        <v/>
      </c>
      <c r="AC175">
        <f>UPPER(LEFT(A175,3)&amp;"-"&amp;LEFT(B175,3)&amp;"-"&amp;TEXT(ROW()-1,"000"))</f>
        <v/>
      </c>
      <c r="AD175">
        <f>INDEX(Rules!$E$2:$E$6,MATCH(O175,Rules!$A$2:$A$6,0))</f>
        <v/>
      </c>
      <c r="AE175" s="2">
        <f>ROUND(AA175*AD175,2)</f>
        <v/>
      </c>
      <c r="AF175">
        <f>RANK(W175,$W$2:$W$181,0)</f>
        <v/>
      </c>
      <c r="AG175">
        <f>IF(AND(AB175&gt;0.18,Y175="LOW"),"PASS",IF(AB175&gt;0.08,"WATCH","FAIL"))</f>
        <v/>
      </c>
      <c r="AH175">
        <f>IFERROR(IF(VLOOKUP(A175,Rules!$G$2:$H$13,2,FALSE)="Priority","Priority Region","Standard Region"),"Standard Region")</f>
        <v/>
      </c>
      <c r="AI175">
        <f>ROUND(SUMPRODUCT(E175:J175,{0.08,0.08,0.15,0.1,0.25,0.34}),2)</f>
        <v/>
      </c>
      <c r="AJ175" s="2">
        <f>ROUND(AE175*INDEX(Rules!$J$2:$J$5,MATCH(MONTH(K175),Rules!$I$2:$I$5,1)),2)</f>
        <v/>
      </c>
    </row>
    <row r="176">
      <c r="A176" t="inlineStr">
        <is>
          <t>Surkhandarya</t>
        </is>
      </c>
      <c r="B176" t="inlineStr">
        <is>
          <t>Urban-4</t>
        </is>
      </c>
      <c r="C176" t="inlineStr">
        <is>
          <t>Kamola Rahimova</t>
        </is>
      </c>
      <c r="D176" t="n">
        <v>115</v>
      </c>
      <c r="E176" t="n">
        <v>115</v>
      </c>
      <c r="F176" s="2" t="n">
        <v>178</v>
      </c>
      <c r="G176" t="n">
        <v>22</v>
      </c>
      <c r="H176" t="n">
        <v>19</v>
      </c>
      <c r="I176" t="n">
        <v>85</v>
      </c>
      <c r="J176" s="3" t="n">
        <v>1</v>
      </c>
      <c r="K176" s="4" t="inlineStr">
        <is>
          <t>2026-07-01</t>
        </is>
      </c>
      <c r="L176" s="2" t="n">
        <v>96</v>
      </c>
      <c r="M176" s="2" t="n">
        <v>45</v>
      </c>
      <c r="N176" s="3" t="n">
        <v>0.0425</v>
      </c>
      <c r="O176" t="inlineStr">
        <is>
          <t>Tier-1</t>
        </is>
      </c>
      <c r="P176">
        <f>E176-D176</f>
        <v/>
      </c>
      <c r="Q176" s="3">
        <f>IF(D176=0,0,E176/D176-1)</f>
        <v/>
      </c>
      <c r="R176" s="2">
        <f>E176*F176</f>
        <v/>
      </c>
      <c r="S176" s="2">
        <f>H176*(F176*1.5/8)</f>
        <v/>
      </c>
      <c r="T176" s="2">
        <f>R176+S176+L176+M176</f>
        <v/>
      </c>
      <c r="U176">
        <f>IF(G176=0,0,E176/G176)</f>
        <v/>
      </c>
      <c r="V176">
        <f>IF(I176&gt;=95,"A",IF(I176&gt;=85,"B",IF(I176&gt;=75,"C","D")))</f>
        <v/>
      </c>
      <c r="W176">
        <f>ROUND((J176*35)+(I176*0.25)+(U176*0.2)+(IF(Q176&gt;0,100,MAX(0,100+Q176*100))*0.2),2)</f>
        <v/>
      </c>
      <c r="X176" s="2">
        <f>ROUND(T176*N176*IF(V176="A",1.25,IF(V176="B",1.1,IF(V176="C",0.9,0.5))),2)</f>
        <v/>
      </c>
      <c r="Y176">
        <f>IF(OR(I176&lt;80,J176&lt;0.75,E176&lt;D176*0.85),"HIGH",IF(OR(I176&lt;90,J176&lt;0.9),"MEDIUM","LOW"))</f>
        <v/>
      </c>
      <c r="Z176" s="2">
        <f>ROUND(E176*INDEX(Rules!$B$2:$B$6,MATCH(O176,Rules!$A$2:$A$6,0))*INDEX(Rules!$C$2:$C$5,MATCH(V176,Rules!$D$2:$D$5,0)),2)</f>
        <v/>
      </c>
      <c r="AA176" s="2">
        <f>Z176-T176-X176</f>
        <v/>
      </c>
      <c r="AB176" s="3">
        <f>IF(Z176=0,0,AA176/Z176)</f>
        <v/>
      </c>
      <c r="AC176">
        <f>UPPER(LEFT(A176,3)&amp;"-"&amp;LEFT(B176,3)&amp;"-"&amp;TEXT(ROW()-1,"000"))</f>
        <v/>
      </c>
      <c r="AD176">
        <f>INDEX(Rules!$E$2:$E$6,MATCH(O176,Rules!$A$2:$A$6,0))</f>
        <v/>
      </c>
      <c r="AE176" s="2">
        <f>ROUND(AA176*AD176,2)</f>
        <v/>
      </c>
      <c r="AF176">
        <f>RANK(W176,$W$2:$W$181,0)</f>
        <v/>
      </c>
      <c r="AG176">
        <f>IF(AND(AB176&gt;0.18,Y176="LOW"),"PASS",IF(AB176&gt;0.08,"WATCH","FAIL"))</f>
        <v/>
      </c>
      <c r="AH176">
        <f>IFERROR(IF(VLOOKUP(A176,Rules!$G$2:$H$13,2,FALSE)="Priority","Priority Region","Standard Region"),"Standard Region")</f>
        <v/>
      </c>
      <c r="AI176">
        <f>ROUND(SUMPRODUCT(E176:J176,{0.08,0.08,0.15,0.1,0.25,0.34}),2)</f>
        <v/>
      </c>
      <c r="AJ176" s="2">
        <f>ROUND(AE176*INDEX(Rules!$J$2:$J$5,MATCH(MONTH(K176),Rules!$I$2:$I$5,1)),2)</f>
        <v/>
      </c>
    </row>
    <row r="177">
      <c r="A177" t="inlineStr">
        <is>
          <t>Khorezm</t>
        </is>
      </c>
      <c r="B177" t="inlineStr">
        <is>
          <t>Central-1</t>
        </is>
      </c>
      <c r="C177" t="inlineStr">
        <is>
          <t>Aziza Karimova</t>
        </is>
      </c>
      <c r="D177" t="n">
        <v>122</v>
      </c>
      <c r="E177" t="n">
        <v>129</v>
      </c>
      <c r="F177" s="2" t="n">
        <v>187</v>
      </c>
      <c r="G177" t="n">
        <v>23</v>
      </c>
      <c r="H177" t="n">
        <v>0</v>
      </c>
      <c r="I177" t="n">
        <v>90</v>
      </c>
      <c r="J177" s="3" t="n">
        <v>1.0574</v>
      </c>
      <c r="K177" s="4" t="inlineStr">
        <is>
          <t>2026-08-01</t>
        </is>
      </c>
      <c r="L177" s="2" t="n">
        <v>104</v>
      </c>
      <c r="M177" s="2" t="n">
        <v>50</v>
      </c>
      <c r="N177" s="3" t="n">
        <v>0.055</v>
      </c>
      <c r="O177" t="inlineStr">
        <is>
          <t>Tier-2</t>
        </is>
      </c>
      <c r="P177">
        <f>E177-D177</f>
        <v/>
      </c>
      <c r="Q177" s="3">
        <f>IF(D177=0,0,E177/D177-1)</f>
        <v/>
      </c>
      <c r="R177" s="2">
        <f>E177*F177</f>
        <v/>
      </c>
      <c r="S177" s="2">
        <f>H177*(F177*1.5/8)</f>
        <v/>
      </c>
      <c r="T177" s="2">
        <f>R177+S177+L177+M177</f>
        <v/>
      </c>
      <c r="U177">
        <f>IF(G177=0,0,E177/G177)</f>
        <v/>
      </c>
      <c r="V177">
        <f>IF(I177&gt;=95,"A",IF(I177&gt;=85,"B",IF(I177&gt;=75,"C","D")))</f>
        <v/>
      </c>
      <c r="W177">
        <f>ROUND((J177*35)+(I177*0.25)+(U177*0.2)+(IF(Q177&gt;0,100,MAX(0,100+Q177*100))*0.2),2)</f>
        <v/>
      </c>
      <c r="X177" s="2">
        <f>ROUND(T177*N177*IF(V177="A",1.25,IF(V177="B",1.1,IF(V177="C",0.9,0.5))),2)</f>
        <v/>
      </c>
      <c r="Y177">
        <f>IF(OR(I177&lt;80,J177&lt;0.75,E177&lt;D177*0.85),"HIGH",IF(OR(I177&lt;90,J177&lt;0.9),"MEDIUM","LOW"))</f>
        <v/>
      </c>
      <c r="Z177" s="2">
        <f>ROUND(E177*INDEX(Rules!$B$2:$B$6,MATCH(O177,Rules!$A$2:$A$6,0))*INDEX(Rules!$C$2:$C$5,MATCH(V177,Rules!$D$2:$D$5,0)),2)</f>
        <v/>
      </c>
      <c r="AA177" s="2">
        <f>Z177-T177-X177</f>
        <v/>
      </c>
      <c r="AB177" s="3">
        <f>IF(Z177=0,0,AA177/Z177)</f>
        <v/>
      </c>
      <c r="AC177">
        <f>UPPER(LEFT(A177,3)&amp;"-"&amp;LEFT(B177,3)&amp;"-"&amp;TEXT(ROW()-1,"000"))</f>
        <v/>
      </c>
      <c r="AD177">
        <f>INDEX(Rules!$E$2:$E$6,MATCH(O177,Rules!$A$2:$A$6,0))</f>
        <v/>
      </c>
      <c r="AE177" s="2">
        <f>ROUND(AA177*AD177,2)</f>
        <v/>
      </c>
      <c r="AF177">
        <f>RANK(W177,$W$2:$W$181,0)</f>
        <v/>
      </c>
      <c r="AG177">
        <f>IF(AND(AB177&gt;0.18,Y177="LOW"),"PASS",IF(AB177&gt;0.08,"WATCH","FAIL"))</f>
        <v/>
      </c>
      <c r="AH177">
        <f>IFERROR(IF(VLOOKUP(A177,Rules!$G$2:$H$13,2,FALSE)="Priority","Priority Region","Standard Region"),"Standard Region")</f>
        <v/>
      </c>
      <c r="AI177">
        <f>ROUND(SUMPRODUCT(E177:J177,{0.08,0.08,0.15,0.1,0.25,0.34}),2)</f>
        <v/>
      </c>
      <c r="AJ177" s="2">
        <f>ROUND(AE177*INDEX(Rules!$J$2:$J$5,MATCH(MONTH(K177),Rules!$I$2:$I$5,1)),2)</f>
        <v/>
      </c>
    </row>
    <row r="178">
      <c r="A178" t="inlineStr">
        <is>
          <t>Jizzakh</t>
        </is>
      </c>
      <c r="B178" t="inlineStr">
        <is>
          <t>North-2</t>
        </is>
      </c>
      <c r="C178" t="inlineStr">
        <is>
          <t>Bekzod Aliyev</t>
        </is>
      </c>
      <c r="D178" t="n">
        <v>129</v>
      </c>
      <c r="E178" t="n">
        <v>143</v>
      </c>
      <c r="F178" s="2" t="n">
        <v>196</v>
      </c>
      <c r="G178" t="n">
        <v>24</v>
      </c>
      <c r="H178" t="n">
        <v>3</v>
      </c>
      <c r="I178" t="n">
        <v>95</v>
      </c>
      <c r="J178" s="3" t="n">
        <v>1.1085</v>
      </c>
      <c r="K178" s="4" t="inlineStr">
        <is>
          <t>2026-09-01</t>
        </is>
      </c>
      <c r="L178" s="2" t="n">
        <v>112</v>
      </c>
      <c r="M178" s="2" t="n">
        <v>55</v>
      </c>
      <c r="N178" s="3" t="n">
        <v>0.0675</v>
      </c>
      <c r="O178" t="inlineStr">
        <is>
          <t>Tier-3</t>
        </is>
      </c>
      <c r="P178">
        <f>E178-D178</f>
        <v/>
      </c>
      <c r="Q178" s="3">
        <f>IF(D178=0,0,E178/D178-1)</f>
        <v/>
      </c>
      <c r="R178" s="2">
        <f>E178*F178</f>
        <v/>
      </c>
      <c r="S178" s="2">
        <f>H178*(F178*1.5/8)</f>
        <v/>
      </c>
      <c r="T178" s="2">
        <f>R178+S178+L178+M178</f>
        <v/>
      </c>
      <c r="U178">
        <f>IF(G178=0,0,E178/G178)</f>
        <v/>
      </c>
      <c r="V178">
        <f>IF(I178&gt;=95,"A",IF(I178&gt;=85,"B",IF(I178&gt;=75,"C","D")))</f>
        <v/>
      </c>
      <c r="W178">
        <f>ROUND((J178*35)+(I178*0.25)+(U178*0.2)+(IF(Q178&gt;0,100,MAX(0,100+Q178*100))*0.2),2)</f>
        <v/>
      </c>
      <c r="X178" s="2">
        <f>ROUND(T178*N178*IF(V178="A",1.25,IF(V178="B",1.1,IF(V178="C",0.9,0.5))),2)</f>
        <v/>
      </c>
      <c r="Y178">
        <f>IF(OR(I178&lt;80,J178&lt;0.75,E178&lt;D178*0.85),"HIGH",IF(OR(I178&lt;90,J178&lt;0.9),"MEDIUM","LOW"))</f>
        <v/>
      </c>
      <c r="Z178" s="2">
        <f>ROUND(E178*INDEX(Rules!$B$2:$B$6,MATCH(O178,Rules!$A$2:$A$6,0))*INDEX(Rules!$C$2:$C$5,MATCH(V178,Rules!$D$2:$D$5,0)),2)</f>
        <v/>
      </c>
      <c r="AA178" s="2">
        <f>Z178-T178-X178</f>
        <v/>
      </c>
      <c r="AB178" s="3">
        <f>IF(Z178=0,0,AA178/Z178)</f>
        <v/>
      </c>
      <c r="AC178">
        <f>UPPER(LEFT(A178,3)&amp;"-"&amp;LEFT(B178,3)&amp;"-"&amp;TEXT(ROW()-1,"000"))</f>
        <v/>
      </c>
      <c r="AD178">
        <f>INDEX(Rules!$E$2:$E$6,MATCH(O178,Rules!$A$2:$A$6,0))</f>
        <v/>
      </c>
      <c r="AE178" s="2">
        <f>ROUND(AA178*AD178,2)</f>
        <v/>
      </c>
      <c r="AF178">
        <f>RANK(W178,$W$2:$W$181,0)</f>
        <v/>
      </c>
      <c r="AG178">
        <f>IF(AND(AB178&gt;0.18,Y178="LOW"),"PASS",IF(AB178&gt;0.08,"WATCH","FAIL"))</f>
        <v/>
      </c>
      <c r="AH178">
        <f>IFERROR(IF(VLOOKUP(A178,Rules!$G$2:$H$13,2,FALSE)="Priority","Priority Region","Standard Region"),"Standard Region")</f>
        <v/>
      </c>
      <c r="AI178">
        <f>ROUND(SUMPRODUCT(E178:J178,{0.08,0.08,0.15,0.1,0.25,0.34}),2)</f>
        <v/>
      </c>
      <c r="AJ178" s="2">
        <f>ROUND(AE178*INDEX(Rules!$J$2:$J$5,MATCH(MONTH(K178),Rules!$I$2:$I$5,1)),2)</f>
        <v/>
      </c>
    </row>
    <row r="179">
      <c r="A179" t="inlineStr">
        <is>
          <t>Navoi</t>
        </is>
      </c>
      <c r="B179" t="inlineStr">
        <is>
          <t>South-3</t>
        </is>
      </c>
      <c r="C179" t="inlineStr">
        <is>
          <t>Dilshod Rustamov</t>
        </is>
      </c>
      <c r="D179" t="n">
        <v>136</v>
      </c>
      <c r="E179" t="n">
        <v>157</v>
      </c>
      <c r="F179" s="2" t="n">
        <v>205</v>
      </c>
      <c r="G179" t="n">
        <v>25</v>
      </c>
      <c r="H179" t="n">
        <v>6</v>
      </c>
      <c r="I179" t="n">
        <v>100</v>
      </c>
      <c r="J179" s="3" t="n">
        <v>1.1544</v>
      </c>
      <c r="K179" s="4" t="inlineStr">
        <is>
          <t>2026-10-01</t>
        </is>
      </c>
      <c r="L179" s="2" t="n">
        <v>120</v>
      </c>
      <c r="M179" s="2" t="n">
        <v>60</v>
      </c>
      <c r="N179" s="3" t="n">
        <v>0.08</v>
      </c>
      <c r="O179" t="inlineStr">
        <is>
          <t>Tier-4</t>
        </is>
      </c>
      <c r="P179">
        <f>E179-D179</f>
        <v/>
      </c>
      <c r="Q179" s="3">
        <f>IF(D179=0,0,E179/D179-1)</f>
        <v/>
      </c>
      <c r="R179" s="2">
        <f>E179*F179</f>
        <v/>
      </c>
      <c r="S179" s="2">
        <f>H179*(F179*1.5/8)</f>
        <v/>
      </c>
      <c r="T179" s="2">
        <f>R179+S179+L179+M179</f>
        <v/>
      </c>
      <c r="U179">
        <f>IF(G179=0,0,E179/G179)</f>
        <v/>
      </c>
      <c r="V179">
        <f>IF(I179&gt;=95,"A",IF(I179&gt;=85,"B",IF(I179&gt;=75,"C","D")))</f>
        <v/>
      </c>
      <c r="W179">
        <f>ROUND((J179*35)+(I179*0.25)+(U179*0.2)+(IF(Q179&gt;0,100,MAX(0,100+Q179*100))*0.2),2)</f>
        <v/>
      </c>
      <c r="X179" s="2">
        <f>ROUND(T179*N179*IF(V179="A",1.25,IF(V179="B",1.1,IF(V179="C",0.9,0.5))),2)</f>
        <v/>
      </c>
      <c r="Y179">
        <f>IF(OR(I179&lt;80,J179&lt;0.75,E179&lt;D179*0.85),"HIGH",IF(OR(I179&lt;90,J179&lt;0.9),"MEDIUM","LOW"))</f>
        <v/>
      </c>
      <c r="Z179" s="2">
        <f>ROUND(E179*INDEX(Rules!$B$2:$B$6,MATCH(O179,Rules!$A$2:$A$6,0))*INDEX(Rules!$C$2:$C$5,MATCH(V179,Rules!$D$2:$D$5,0)),2)</f>
        <v/>
      </c>
      <c r="AA179" s="2">
        <f>Z179-T179-X179</f>
        <v/>
      </c>
      <c r="AB179" s="3">
        <f>IF(Z179=0,0,AA179/Z179)</f>
        <v/>
      </c>
      <c r="AC179">
        <f>UPPER(LEFT(A179,3)&amp;"-"&amp;LEFT(B179,3)&amp;"-"&amp;TEXT(ROW()-1,"000"))</f>
        <v/>
      </c>
      <c r="AD179">
        <f>INDEX(Rules!$E$2:$E$6,MATCH(O179,Rules!$A$2:$A$6,0))</f>
        <v/>
      </c>
      <c r="AE179" s="2">
        <f>ROUND(AA179*AD179,2)</f>
        <v/>
      </c>
      <c r="AF179">
        <f>RANK(W179,$W$2:$W$181,0)</f>
        <v/>
      </c>
      <c r="AG179">
        <f>IF(AND(AB179&gt;0.18,Y179="LOW"),"PASS",IF(AB179&gt;0.08,"WATCH","FAIL"))</f>
        <v/>
      </c>
      <c r="AH179">
        <f>IFERROR(IF(VLOOKUP(A179,Rules!$G$2:$H$13,2,FALSE)="Priority","Priority Region","Standard Region"),"Standard Region")</f>
        <v/>
      </c>
      <c r="AI179">
        <f>ROUND(SUMPRODUCT(E179:J179,{0.08,0.08,0.15,0.1,0.25,0.34}),2)</f>
        <v/>
      </c>
      <c r="AJ179" s="2">
        <f>ROUND(AE179*INDEX(Rules!$J$2:$J$5,MATCH(MONTH(K179),Rules!$I$2:$I$5,1)),2)</f>
        <v/>
      </c>
    </row>
    <row r="180">
      <c r="A180" t="inlineStr">
        <is>
          <t>Syrdarya</t>
        </is>
      </c>
      <c r="B180" t="inlineStr">
        <is>
          <t>East-4</t>
        </is>
      </c>
      <c r="C180" t="inlineStr">
        <is>
          <t>Malika Ergasheva</t>
        </is>
      </c>
      <c r="D180" t="n">
        <v>143</v>
      </c>
      <c r="E180" t="n">
        <v>171</v>
      </c>
      <c r="F180" s="2" t="n">
        <v>214</v>
      </c>
      <c r="G180" t="n">
        <v>26</v>
      </c>
      <c r="H180" t="n">
        <v>9</v>
      </c>
      <c r="I180" t="n">
        <v>72</v>
      </c>
      <c r="J180" s="3" t="n">
        <v>1.1958</v>
      </c>
      <c r="K180" s="4" t="inlineStr">
        <is>
          <t>2026-11-01</t>
        </is>
      </c>
      <c r="L180" s="2" t="n">
        <v>128</v>
      </c>
      <c r="M180" s="2" t="n">
        <v>65</v>
      </c>
      <c r="N180" s="3" t="n">
        <v>0.0925</v>
      </c>
      <c r="O180" t="inlineStr">
        <is>
          <t>Tier-5</t>
        </is>
      </c>
      <c r="P180">
        <f>E180-D180</f>
        <v/>
      </c>
      <c r="Q180" s="3">
        <f>IF(D180=0,0,E180/D180-1)</f>
        <v/>
      </c>
      <c r="R180" s="2">
        <f>E180*F180</f>
        <v/>
      </c>
      <c r="S180" s="2">
        <f>H180*(F180*1.5/8)</f>
        <v/>
      </c>
      <c r="T180" s="2">
        <f>R180+S180+L180+M180</f>
        <v/>
      </c>
      <c r="U180">
        <f>IF(G180=0,0,E180/G180)</f>
        <v/>
      </c>
      <c r="V180">
        <f>IF(I180&gt;=95,"A",IF(I180&gt;=85,"B",IF(I180&gt;=75,"C","D")))</f>
        <v/>
      </c>
      <c r="W180">
        <f>ROUND((J180*35)+(I180*0.25)+(U180*0.2)+(IF(Q180&gt;0,100,MAX(0,100+Q180*100))*0.2),2)</f>
        <v/>
      </c>
      <c r="X180" s="2">
        <f>ROUND(T180*N180*IF(V180="A",1.25,IF(V180="B",1.1,IF(V180="C",0.9,0.5))),2)</f>
        <v/>
      </c>
      <c r="Y180">
        <f>IF(OR(I180&lt;80,J180&lt;0.75,E180&lt;D180*0.85),"HIGH",IF(OR(I180&lt;90,J180&lt;0.9),"MEDIUM","LOW"))</f>
        <v/>
      </c>
      <c r="Z180" s="2">
        <f>ROUND(E180*INDEX(Rules!$B$2:$B$6,MATCH(O180,Rules!$A$2:$A$6,0))*INDEX(Rules!$C$2:$C$5,MATCH(V180,Rules!$D$2:$D$5,0)),2)</f>
        <v/>
      </c>
      <c r="AA180" s="2">
        <f>Z180-T180-X180</f>
        <v/>
      </c>
      <c r="AB180" s="3">
        <f>IF(Z180=0,0,AA180/Z180)</f>
        <v/>
      </c>
      <c r="AC180">
        <f>UPPER(LEFT(A180,3)&amp;"-"&amp;LEFT(B180,3)&amp;"-"&amp;TEXT(ROW()-1,"000"))</f>
        <v/>
      </c>
      <c r="AD180">
        <f>INDEX(Rules!$E$2:$E$6,MATCH(O180,Rules!$A$2:$A$6,0))</f>
        <v/>
      </c>
      <c r="AE180" s="2">
        <f>ROUND(AA180*AD180,2)</f>
        <v/>
      </c>
      <c r="AF180">
        <f>RANK(W180,$W$2:$W$181,0)</f>
        <v/>
      </c>
      <c r="AG180">
        <f>IF(AND(AB180&gt;0.18,Y180="LOW"),"PASS",IF(AB180&gt;0.08,"WATCH","FAIL"))</f>
        <v/>
      </c>
      <c r="AH180">
        <f>IFERROR(IF(VLOOKUP(A180,Rules!$G$2:$H$13,2,FALSE)="Priority","Priority Region","Standard Region"),"Standard Region")</f>
        <v/>
      </c>
      <c r="AI180">
        <f>ROUND(SUMPRODUCT(E180:J180,{0.08,0.08,0.15,0.1,0.25,0.34}),2)</f>
        <v/>
      </c>
      <c r="AJ180" s="2">
        <f>ROUND(AE180*INDEX(Rules!$J$2:$J$5,MATCH(MONTH(K180),Rules!$I$2:$I$5,1)),2)</f>
        <v/>
      </c>
    </row>
    <row r="181">
      <c r="A181" t="inlineStr">
        <is>
          <t>Tashkent</t>
        </is>
      </c>
      <c r="B181" t="inlineStr">
        <is>
          <t>West-1</t>
        </is>
      </c>
      <c r="C181" t="inlineStr">
        <is>
          <t>Shahzod Islomov</t>
        </is>
      </c>
      <c r="D181" t="n">
        <v>150</v>
      </c>
      <c r="E181" t="n">
        <v>126</v>
      </c>
      <c r="F181" s="2" t="n">
        <v>223</v>
      </c>
      <c r="G181" t="n">
        <v>18</v>
      </c>
      <c r="H181" t="n">
        <v>12</v>
      </c>
      <c r="I181" t="n">
        <v>77</v>
      </c>
      <c r="J181" s="3" t="n">
        <v>0.84</v>
      </c>
      <c r="K181" s="4" t="inlineStr">
        <is>
          <t>2026-12-01</t>
        </is>
      </c>
      <c r="L181" s="2" t="n">
        <v>40</v>
      </c>
      <c r="M181" s="2" t="n">
        <v>20</v>
      </c>
      <c r="N181" s="3" t="n">
        <v>0.03</v>
      </c>
      <c r="O181" t="inlineStr">
        <is>
          <t>Tier-1</t>
        </is>
      </c>
      <c r="P181">
        <f>E181-D181</f>
        <v/>
      </c>
      <c r="Q181" s="3">
        <f>IF(D181=0,0,E181/D181-1)</f>
        <v/>
      </c>
      <c r="R181" s="2">
        <f>E181*F181</f>
        <v/>
      </c>
      <c r="S181" s="2">
        <f>H181*(F181*1.5/8)</f>
        <v/>
      </c>
      <c r="T181" s="2">
        <f>R181+S181+L181+M181</f>
        <v/>
      </c>
      <c r="U181">
        <f>IF(G181=0,0,E181/G181)</f>
        <v/>
      </c>
      <c r="V181">
        <f>IF(I181&gt;=95,"A",IF(I181&gt;=85,"B",IF(I181&gt;=75,"C","D")))</f>
        <v/>
      </c>
      <c r="W181">
        <f>ROUND((J181*35)+(I181*0.25)+(U181*0.2)+(IF(Q181&gt;0,100,MAX(0,100+Q181*100))*0.2),2)</f>
        <v/>
      </c>
      <c r="X181" s="2">
        <f>ROUND(T181*N181*IF(V181="A",1.25,IF(V181="B",1.1,IF(V181="C",0.9,0.5))),2)</f>
        <v/>
      </c>
      <c r="Y181">
        <f>IF(OR(I181&lt;80,J181&lt;0.75,E181&lt;D181*0.85),"HIGH",IF(OR(I181&lt;90,J181&lt;0.9),"MEDIUM","LOW"))</f>
        <v/>
      </c>
      <c r="Z181" s="2">
        <f>ROUND(E181*INDEX(Rules!$B$2:$B$6,MATCH(O181,Rules!$A$2:$A$6,0))*INDEX(Rules!$C$2:$C$5,MATCH(V181,Rules!$D$2:$D$5,0)),2)</f>
        <v/>
      </c>
      <c r="AA181" s="2">
        <f>Z181-T181-X181</f>
        <v/>
      </c>
      <c r="AB181" s="3">
        <f>IF(Z181=0,0,AA181/Z181)</f>
        <v/>
      </c>
      <c r="AC181">
        <f>UPPER(LEFT(A181,3)&amp;"-"&amp;LEFT(B181,3)&amp;"-"&amp;TEXT(ROW()-1,"000"))</f>
        <v/>
      </c>
      <c r="AD181">
        <f>INDEX(Rules!$E$2:$E$6,MATCH(O181,Rules!$A$2:$A$6,0))</f>
        <v/>
      </c>
      <c r="AE181" s="2">
        <f>ROUND(AA181*AD181,2)</f>
        <v/>
      </c>
      <c r="AF181">
        <f>RANK(W181,$W$2:$W$181,0)</f>
        <v/>
      </c>
      <c r="AG181">
        <f>IF(AND(AB181&gt;0.18,Y181="LOW"),"PASS",IF(AB181&gt;0.08,"WATCH","FAIL"))</f>
        <v/>
      </c>
      <c r="AH181">
        <f>IFERROR(IF(VLOOKUP(A181,Rules!$G$2:$H$13,2,FALSE)="Priority","Priority Region","Standard Region"),"Standard Region")</f>
        <v/>
      </c>
      <c r="AI181">
        <f>ROUND(SUMPRODUCT(E181:J181,{0.08,0.08,0.15,0.1,0.25,0.34}),2)</f>
        <v/>
      </c>
      <c r="AJ181" s="2">
        <f>ROUND(AE181*INDEX(Rules!$J$2:$J$5,MATCH(MONTH(K181),Rules!$I$2:$I$5,1)),2)</f>
        <v/>
      </c>
    </row>
  </sheetData>
  <autoFilter ref="A1:AJ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Tier</t>
        </is>
      </c>
      <c r="B1" t="inlineStr">
        <is>
          <t>RevenueMultiplier</t>
        </is>
      </c>
      <c r="C1" t="inlineStr">
        <is>
          <t>QualityMultiplier</t>
        </is>
      </c>
      <c r="D1" t="inlineStr">
        <is>
          <t>Band</t>
        </is>
      </c>
      <c r="E1" t="inlineStr">
        <is>
          <t>NetAdjust</t>
        </is>
      </c>
      <c r="G1" t="inlineStr">
        <is>
          <t>Region</t>
        </is>
      </c>
      <c r="H1" t="inlineStr">
        <is>
          <t>AuditGroup</t>
        </is>
      </c>
      <c r="I1" t="inlineStr">
        <is>
          <t>MonthStart</t>
        </is>
      </c>
      <c r="J1" t="inlineStr">
        <is>
          <t>SeasonFactor</t>
        </is>
      </c>
    </row>
    <row r="2">
      <c r="A2" t="inlineStr">
        <is>
          <t>Tier-1</t>
        </is>
      </c>
      <c r="B2" t="n">
        <v>1.55</v>
      </c>
      <c r="C2" t="n">
        <v>1.25</v>
      </c>
      <c r="D2" t="inlineStr">
        <is>
          <t>A</t>
        </is>
      </c>
      <c r="E2" t="n">
        <v>1.18</v>
      </c>
      <c r="G2" t="inlineStr">
        <is>
          <t>Tashkent</t>
        </is>
      </c>
      <c r="H2" t="inlineStr">
        <is>
          <t>Priority</t>
        </is>
      </c>
      <c r="I2" t="n">
        <v>1</v>
      </c>
      <c r="J2" t="n">
        <v>0.95</v>
      </c>
    </row>
    <row r="3">
      <c r="A3" t="inlineStr">
        <is>
          <t>Tier-2</t>
        </is>
      </c>
      <c r="B3" t="n">
        <v>1.35</v>
      </c>
      <c r="C3" t="n">
        <v>1.1</v>
      </c>
      <c r="D3" t="inlineStr">
        <is>
          <t>B</t>
        </is>
      </c>
      <c r="E3" t="n">
        <v>1.12</v>
      </c>
      <c r="G3" t="inlineStr">
        <is>
          <t>Samarkand</t>
        </is>
      </c>
      <c r="H3" t="inlineStr">
        <is>
          <t>Priority</t>
        </is>
      </c>
      <c r="I3" t="n">
        <v>4</v>
      </c>
      <c r="J3" t="n">
        <v>1.02</v>
      </c>
    </row>
    <row r="4">
      <c r="A4" t="inlineStr">
        <is>
          <t>Tier-3</t>
        </is>
      </c>
      <c r="B4" t="n">
        <v>1.22</v>
      </c>
      <c r="C4" t="n">
        <v>0.92</v>
      </c>
      <c r="D4" t="inlineStr">
        <is>
          <t>C</t>
        </is>
      </c>
      <c r="E4" t="n">
        <v>1.07</v>
      </c>
      <c r="G4" t="inlineStr">
        <is>
          <t>Bukhara</t>
        </is>
      </c>
      <c r="H4" t="inlineStr">
        <is>
          <t>Priority</t>
        </is>
      </c>
      <c r="I4" t="n">
        <v>7</v>
      </c>
      <c r="J4" t="n">
        <v>1.09</v>
      </c>
    </row>
    <row r="5">
      <c r="A5" t="inlineStr">
        <is>
          <t>Tier-4</t>
        </is>
      </c>
      <c r="B5" t="n">
        <v>1.1</v>
      </c>
      <c r="C5" t="n">
        <v>0.75</v>
      </c>
      <c r="D5" t="inlineStr">
        <is>
          <t>D</t>
        </is>
      </c>
      <c r="E5" t="n">
        <v>1.03</v>
      </c>
      <c r="G5" t="inlineStr">
        <is>
          <t>Andijan</t>
        </is>
      </c>
      <c r="H5" t="inlineStr">
        <is>
          <t>Standard</t>
        </is>
      </c>
      <c r="I5" t="n">
        <v>10</v>
      </c>
      <c r="J5" t="n">
        <v>1.04</v>
      </c>
    </row>
    <row r="6">
      <c r="A6" t="inlineStr">
        <is>
          <t>Tier-5</t>
        </is>
      </c>
      <c r="B6" t="n">
        <v>0.95</v>
      </c>
      <c r="E6" t="n">
        <v>0.98</v>
      </c>
      <c r="G6" t="inlineStr">
        <is>
          <t>Namangan</t>
        </is>
      </c>
      <c r="H6" t="inlineStr">
        <is>
          <t>Standard</t>
        </is>
      </c>
    </row>
    <row r="7">
      <c r="G7" t="inlineStr">
        <is>
          <t>Fergana</t>
        </is>
      </c>
      <c r="H7" t="inlineStr">
        <is>
          <t>Standard</t>
        </is>
      </c>
    </row>
    <row r="8">
      <c r="G8" t="inlineStr">
        <is>
          <t>Kashkadarya</t>
        </is>
      </c>
      <c r="H8" t="inlineStr">
        <is>
          <t>Priority</t>
        </is>
      </c>
    </row>
    <row r="9">
      <c r="G9" t="inlineStr">
        <is>
          <t>Surkhandarya</t>
        </is>
      </c>
      <c r="H9" t="inlineStr">
        <is>
          <t>Standard</t>
        </is>
      </c>
    </row>
    <row r="10">
      <c r="G10" t="inlineStr">
        <is>
          <t>Khorezm</t>
        </is>
      </c>
      <c r="H10" t="inlineStr">
        <is>
          <t>Standard</t>
        </is>
      </c>
    </row>
    <row r="11">
      <c r="G11" t="inlineStr">
        <is>
          <t>Jizzakh</t>
        </is>
      </c>
      <c r="H11" t="inlineStr">
        <is>
          <t>Standard</t>
        </is>
      </c>
    </row>
    <row r="12">
      <c r="G12" t="inlineStr">
        <is>
          <t>Navoi</t>
        </is>
      </c>
      <c r="H12" t="inlineStr">
        <is>
          <t>Priority</t>
        </is>
      </c>
    </row>
    <row r="13">
      <c r="G13" t="inlineStr">
        <is>
          <t>Syrdarya</t>
        </is>
      </c>
      <c r="H13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t="inlineStr">
        <is>
          <t>Metric</t>
        </is>
      </c>
      <c r="B1" t="inlineStr">
        <is>
          <t>Formula</t>
        </is>
      </c>
    </row>
    <row r="2">
      <c r="A2" t="inlineStr">
        <is>
          <t>Total Rows</t>
        </is>
      </c>
      <c r="B2">
        <f>COUNTA(Data!A2:A181)</f>
        <v/>
      </c>
    </row>
    <row r="3">
      <c r="A3" t="inlineStr">
        <is>
          <t>Total Actual Units</t>
        </is>
      </c>
      <c r="B3">
        <f>SUM(Data!E2:E181)</f>
        <v/>
      </c>
    </row>
    <row r="4">
      <c r="A4" t="inlineStr">
        <is>
          <t>Total Cost</t>
        </is>
      </c>
      <c r="B4">
        <f>SUM(Data!T2:T181)</f>
        <v/>
      </c>
    </row>
    <row r="5">
      <c r="A5" t="inlineStr">
        <is>
          <t>Total Revenue</t>
        </is>
      </c>
      <c r="B5">
        <f>SUM(Data!Z2:Z181)</f>
        <v/>
      </c>
    </row>
    <row r="6">
      <c r="A6" t="inlineStr">
        <is>
          <t>Average Margin</t>
        </is>
      </c>
      <c r="B6">
        <f>AVERAGE(Data!AB2:AB181)</f>
        <v/>
      </c>
    </row>
    <row r="7">
      <c r="A7" t="inlineStr">
        <is>
          <t>High Risk Count</t>
        </is>
      </c>
      <c r="B7">
        <f>COUNTIF(Data!Y2:Y181,"HIGH")</f>
        <v/>
      </c>
    </row>
    <row r="8">
      <c r="A8" t="inlineStr">
        <is>
          <t>Pass Health Count</t>
        </is>
      </c>
      <c r="B8">
        <f>COUNTIF(Data!AG2:AG181,"PASS")</f>
        <v/>
      </c>
    </row>
    <row r="9">
      <c r="A9" t="inlineStr">
        <is>
          <t>Priority Region Count</t>
        </is>
      </c>
      <c r="B9">
        <f>COUNTIF(Data!AH2:AH181,"Priority Region")</f>
        <v/>
      </c>
    </row>
    <row r="10">
      <c r="A10" t="inlineStr">
        <is>
          <t>Top Performance Score</t>
        </is>
      </c>
      <c r="B10">
        <f>MAX(Data!W2:W181)</f>
        <v/>
      </c>
    </row>
    <row r="11">
      <c r="A11" t="inlineStr">
        <is>
          <t>Lowest Net Result</t>
        </is>
      </c>
      <c r="B11">
        <f>MIN(Data!AA2:AA181)</f>
        <v/>
      </c>
    </row>
    <row r="12">
      <c r="A12" t="inlineStr">
        <is>
          <t>Season Adjusted Total</t>
        </is>
      </c>
      <c r="B12">
        <f>SUM(Data!AJ2:AJ181)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2026-05-15T19:54:55Z</dcterms:created>
  <dcterms:modified xsi:type="dcterms:W3CDTF">2026-05-15T19:54:55Z</dcterms:modified>
</cp:coreProperties>
</file>